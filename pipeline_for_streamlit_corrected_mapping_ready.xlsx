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ncompass2021-my.sharepoint.com/personal/melindawill_encompasspc_com/Documents/Desktop/DPS Liquity App/"/>
    </mc:Choice>
  </mc:AlternateContent>
  <xr:revisionPtr revIDLastSave="0" documentId="8_{0BFA9B68-9FF9-406E-BF88-244C603365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ipeline_Control" sheetId="1" r:id="rId1"/>
    <sheet name="SO_Mapping" sheetId="2" r:id="rId2"/>
    <sheet name="SO_Source" sheetId="3" r:id="rId3"/>
    <sheet name="Cash_Eligibility" sheetId="4" r:id="rId4"/>
    <sheet name="Cash_Bridge" sheetId="5" r:id="rId5"/>
    <sheet name="App_Readiness_Checks" sheetId="6" r:id="rId6"/>
    <sheet name="Lookups" sheetId="7" r:id="rId7"/>
    <sheet name="Dashboar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6" i="6"/>
  <c r="B7" i="8" s="1"/>
  <c r="B3" i="6"/>
  <c r="B4" i="8" s="1"/>
  <c r="B2" i="6"/>
  <c r="B3" i="8" s="1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K111" i="4"/>
  <c r="I111" i="4"/>
  <c r="H111" i="4"/>
  <c r="G111" i="4"/>
  <c r="F111" i="4"/>
  <c r="E111" i="4"/>
  <c r="D111" i="4"/>
  <c r="C111" i="4"/>
  <c r="B111" i="4"/>
  <c r="A111" i="4"/>
  <c r="K110" i="4"/>
  <c r="I110" i="4"/>
  <c r="H110" i="4"/>
  <c r="G110" i="4"/>
  <c r="F110" i="4"/>
  <c r="E110" i="4"/>
  <c r="D110" i="4"/>
  <c r="C110" i="4"/>
  <c r="B110" i="4"/>
  <c r="A110" i="4"/>
  <c r="K109" i="4"/>
  <c r="H109" i="4"/>
  <c r="G109" i="4"/>
  <c r="F109" i="4"/>
  <c r="E109" i="4"/>
  <c r="D109" i="4"/>
  <c r="C109" i="4"/>
  <c r="B109" i="4"/>
  <c r="A109" i="4"/>
  <c r="K108" i="4"/>
  <c r="H108" i="4"/>
  <c r="G108" i="4"/>
  <c r="F108" i="4"/>
  <c r="E108" i="4"/>
  <c r="D108" i="4"/>
  <c r="C108" i="4"/>
  <c r="B108" i="4"/>
  <c r="A108" i="4"/>
  <c r="K107" i="4"/>
  <c r="I107" i="4"/>
  <c r="H107" i="4"/>
  <c r="G107" i="4"/>
  <c r="F107" i="4"/>
  <c r="E107" i="4"/>
  <c r="D107" i="4"/>
  <c r="C107" i="4"/>
  <c r="B107" i="4"/>
  <c r="A107" i="4"/>
  <c r="K106" i="4"/>
  <c r="I106" i="4"/>
  <c r="H106" i="4"/>
  <c r="G106" i="4"/>
  <c r="F106" i="4"/>
  <c r="E106" i="4"/>
  <c r="D106" i="4"/>
  <c r="C106" i="4"/>
  <c r="B106" i="4"/>
  <c r="A106" i="4"/>
  <c r="K105" i="4"/>
  <c r="I105" i="4"/>
  <c r="H105" i="4"/>
  <c r="G105" i="4"/>
  <c r="F105" i="4"/>
  <c r="E105" i="4"/>
  <c r="D105" i="4"/>
  <c r="C105" i="4"/>
  <c r="B105" i="4"/>
  <c r="A105" i="4"/>
  <c r="K104" i="4"/>
  <c r="I104" i="4"/>
  <c r="H104" i="4"/>
  <c r="G104" i="4"/>
  <c r="F104" i="4"/>
  <c r="E104" i="4"/>
  <c r="D104" i="4"/>
  <c r="C104" i="4"/>
  <c r="B104" i="4"/>
  <c r="A104" i="4"/>
  <c r="K103" i="4"/>
  <c r="I103" i="4"/>
  <c r="H103" i="4"/>
  <c r="G103" i="4"/>
  <c r="F103" i="4"/>
  <c r="E103" i="4"/>
  <c r="D103" i="4"/>
  <c r="C103" i="4"/>
  <c r="B103" i="4"/>
  <c r="A103" i="4"/>
  <c r="K102" i="4"/>
  <c r="I102" i="4"/>
  <c r="H102" i="4"/>
  <c r="G102" i="4"/>
  <c r="F102" i="4"/>
  <c r="E102" i="4"/>
  <c r="D102" i="4"/>
  <c r="C102" i="4"/>
  <c r="B102" i="4"/>
  <c r="A102" i="4"/>
  <c r="H101" i="4"/>
  <c r="G101" i="4"/>
  <c r="F101" i="4"/>
  <c r="E101" i="4"/>
  <c r="D101" i="4"/>
  <c r="C101" i="4"/>
  <c r="B101" i="4"/>
  <c r="A101" i="4"/>
  <c r="K100" i="4"/>
  <c r="H100" i="4"/>
  <c r="G100" i="4"/>
  <c r="F100" i="4"/>
  <c r="E100" i="4"/>
  <c r="D100" i="4"/>
  <c r="C100" i="4"/>
  <c r="B100" i="4"/>
  <c r="A100" i="4"/>
  <c r="K99" i="4"/>
  <c r="I99" i="4"/>
  <c r="H99" i="4"/>
  <c r="G99" i="4"/>
  <c r="F99" i="4"/>
  <c r="E99" i="4"/>
  <c r="D99" i="4"/>
  <c r="C99" i="4"/>
  <c r="B99" i="4"/>
  <c r="A99" i="4"/>
  <c r="K98" i="4"/>
  <c r="I98" i="4"/>
  <c r="H98" i="4"/>
  <c r="G98" i="4"/>
  <c r="F98" i="4"/>
  <c r="E98" i="4"/>
  <c r="D98" i="4"/>
  <c r="C98" i="4"/>
  <c r="B98" i="4"/>
  <c r="A98" i="4"/>
  <c r="K97" i="4"/>
  <c r="I97" i="4"/>
  <c r="H97" i="4"/>
  <c r="G97" i="4"/>
  <c r="F97" i="4"/>
  <c r="E97" i="4"/>
  <c r="D97" i="4"/>
  <c r="C97" i="4"/>
  <c r="B97" i="4"/>
  <c r="A97" i="4"/>
  <c r="K96" i="4"/>
  <c r="I96" i="4"/>
  <c r="H96" i="4"/>
  <c r="G96" i="4"/>
  <c r="F96" i="4"/>
  <c r="E96" i="4"/>
  <c r="D96" i="4"/>
  <c r="C96" i="4"/>
  <c r="B96" i="4"/>
  <c r="A96" i="4"/>
  <c r="K95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2" i="4"/>
  <c r="F2" i="4"/>
  <c r="E2" i="4"/>
  <c r="D2" i="4"/>
  <c r="C2" i="4"/>
  <c r="B2" i="4"/>
  <c r="A2" i="4"/>
  <c r="F57" i="2"/>
  <c r="F56" i="2"/>
  <c r="AL101" i="1" s="1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AL111" i="1"/>
  <c r="AJ111" i="1"/>
  <c r="AK111" i="1" s="1"/>
  <c r="AI111" i="1"/>
  <c r="AL110" i="1"/>
  <c r="AJ110" i="1"/>
  <c r="AK110" i="1" s="1"/>
  <c r="AI110" i="1"/>
  <c r="AL109" i="1"/>
  <c r="AI109" i="1"/>
  <c r="AL108" i="1"/>
  <c r="AI108" i="1"/>
  <c r="AL107" i="1"/>
  <c r="AJ107" i="1"/>
  <c r="AK107" i="1" s="1"/>
  <c r="AI107" i="1"/>
  <c r="AL106" i="1"/>
  <c r="AJ106" i="1"/>
  <c r="AK106" i="1" s="1"/>
  <c r="AI106" i="1"/>
  <c r="AL105" i="1"/>
  <c r="AJ105" i="1"/>
  <c r="AK105" i="1" s="1"/>
  <c r="AI105" i="1"/>
  <c r="AL104" i="1"/>
  <c r="AJ104" i="1"/>
  <c r="AK104" i="1" s="1"/>
  <c r="AI104" i="1"/>
  <c r="AL103" i="1"/>
  <c r="AJ103" i="1"/>
  <c r="AK103" i="1" s="1"/>
  <c r="AI103" i="1"/>
  <c r="AL102" i="1"/>
  <c r="AJ102" i="1"/>
  <c r="AK102" i="1" s="1"/>
  <c r="AI102" i="1"/>
  <c r="AI101" i="1"/>
  <c r="AL100" i="1"/>
  <c r="AI100" i="1"/>
  <c r="AL99" i="1"/>
  <c r="AJ99" i="1"/>
  <c r="AK99" i="1" s="1"/>
  <c r="AI99" i="1"/>
  <c r="AL98" i="1"/>
  <c r="AJ98" i="1"/>
  <c r="AK98" i="1" s="1"/>
  <c r="AI98" i="1"/>
  <c r="AL97" i="1"/>
  <c r="AJ97" i="1"/>
  <c r="AK97" i="1" s="1"/>
  <c r="AI97" i="1"/>
  <c r="AL96" i="1"/>
  <c r="AJ96" i="1"/>
  <c r="AK96" i="1" s="1"/>
  <c r="AI96" i="1"/>
  <c r="AL95" i="1"/>
  <c r="AJ95" i="1"/>
  <c r="AI95" i="1"/>
  <c r="H95" i="4" s="1"/>
  <c r="AL94" i="1"/>
  <c r="AJ94" i="1"/>
  <c r="AI94" i="1"/>
  <c r="H94" i="4" s="1"/>
  <c r="AL93" i="1"/>
  <c r="AJ93" i="1"/>
  <c r="AI93" i="1"/>
  <c r="H93" i="4" s="1"/>
  <c r="AL92" i="1"/>
  <c r="AI92" i="1"/>
  <c r="H92" i="4" s="1"/>
  <c r="AL91" i="1"/>
  <c r="AJ91" i="1"/>
  <c r="AI91" i="1"/>
  <c r="H91" i="4" s="1"/>
  <c r="AL90" i="1"/>
  <c r="AJ90" i="1"/>
  <c r="AI90" i="1"/>
  <c r="H90" i="4" s="1"/>
  <c r="AL89" i="1"/>
  <c r="AJ89" i="1"/>
  <c r="AI89" i="1"/>
  <c r="H89" i="4" s="1"/>
  <c r="AL88" i="1"/>
  <c r="AJ88" i="1"/>
  <c r="AI88" i="1"/>
  <c r="H88" i="4" s="1"/>
  <c r="AL87" i="1"/>
  <c r="AI87" i="1"/>
  <c r="H87" i="4" s="1"/>
  <c r="AL86" i="1"/>
  <c r="AJ86" i="1"/>
  <c r="AI86" i="1"/>
  <c r="H86" i="4" s="1"/>
  <c r="AL85" i="1"/>
  <c r="AJ85" i="1"/>
  <c r="AI85" i="1"/>
  <c r="H85" i="4" s="1"/>
  <c r="AL84" i="1"/>
  <c r="AJ84" i="1"/>
  <c r="AI84" i="1"/>
  <c r="H84" i="4" s="1"/>
  <c r="AL83" i="1"/>
  <c r="AJ83" i="1"/>
  <c r="AI83" i="1"/>
  <c r="H83" i="4" s="1"/>
  <c r="AL82" i="1"/>
  <c r="AJ82" i="1"/>
  <c r="AI82" i="1"/>
  <c r="H82" i="4" s="1"/>
  <c r="AL81" i="1"/>
  <c r="AJ81" i="1"/>
  <c r="AI81" i="1"/>
  <c r="H81" i="4" s="1"/>
  <c r="AL80" i="1"/>
  <c r="AJ80" i="1"/>
  <c r="AI80" i="1"/>
  <c r="H80" i="4" s="1"/>
  <c r="AL79" i="1"/>
  <c r="AJ79" i="1"/>
  <c r="AI79" i="1"/>
  <c r="H79" i="4" s="1"/>
  <c r="AL78" i="1"/>
  <c r="AJ78" i="1"/>
  <c r="AI78" i="1"/>
  <c r="H78" i="4" s="1"/>
  <c r="AL77" i="1"/>
  <c r="AI77" i="1"/>
  <c r="H77" i="4" s="1"/>
  <c r="AL76" i="1"/>
  <c r="AJ76" i="1"/>
  <c r="AI76" i="1"/>
  <c r="H76" i="4" s="1"/>
  <c r="AL75" i="1"/>
  <c r="AJ75" i="1"/>
  <c r="AI75" i="1"/>
  <c r="H75" i="4" s="1"/>
  <c r="AL74" i="1"/>
  <c r="AJ74" i="1"/>
  <c r="AI74" i="1"/>
  <c r="H74" i="4" s="1"/>
  <c r="AL73" i="1"/>
  <c r="AJ73" i="1"/>
  <c r="AI73" i="1"/>
  <c r="H73" i="4" s="1"/>
  <c r="AL72" i="1"/>
  <c r="AI72" i="1"/>
  <c r="H72" i="4" s="1"/>
  <c r="AL71" i="1"/>
  <c r="AJ71" i="1"/>
  <c r="AI71" i="1"/>
  <c r="H71" i="4" s="1"/>
  <c r="AL70" i="1"/>
  <c r="AJ70" i="1"/>
  <c r="AI70" i="1"/>
  <c r="H70" i="4" s="1"/>
  <c r="AL69" i="1"/>
  <c r="AJ69" i="1"/>
  <c r="AI69" i="1"/>
  <c r="H69" i="4" s="1"/>
  <c r="AL68" i="1"/>
  <c r="AJ68" i="1"/>
  <c r="AI68" i="1"/>
  <c r="H68" i="4" s="1"/>
  <c r="AL67" i="1"/>
  <c r="AJ67" i="1"/>
  <c r="AI67" i="1"/>
  <c r="H67" i="4" s="1"/>
  <c r="AL66" i="1"/>
  <c r="AJ66" i="1"/>
  <c r="AI66" i="1"/>
  <c r="H66" i="4" s="1"/>
  <c r="AL65" i="1"/>
  <c r="AJ65" i="1"/>
  <c r="AI65" i="1"/>
  <c r="H65" i="4" s="1"/>
  <c r="AL64" i="1"/>
  <c r="AJ64" i="1"/>
  <c r="AI64" i="1"/>
  <c r="H64" i="4" s="1"/>
  <c r="AL63" i="1"/>
  <c r="AJ63" i="1"/>
  <c r="AI63" i="1"/>
  <c r="H63" i="4" s="1"/>
  <c r="AL62" i="1"/>
  <c r="AJ62" i="1"/>
  <c r="AI62" i="1"/>
  <c r="H62" i="4" s="1"/>
  <c r="AL61" i="1"/>
  <c r="AJ61" i="1"/>
  <c r="AI61" i="1"/>
  <c r="H61" i="4" s="1"/>
  <c r="AL60" i="1"/>
  <c r="AJ60" i="1"/>
  <c r="AI60" i="1"/>
  <c r="H60" i="4" s="1"/>
  <c r="AL59" i="1"/>
  <c r="AJ59" i="1"/>
  <c r="AI59" i="1"/>
  <c r="H59" i="4" s="1"/>
  <c r="AL58" i="1"/>
  <c r="AJ58" i="1"/>
  <c r="AI58" i="1"/>
  <c r="H58" i="4" s="1"/>
  <c r="AL57" i="1"/>
  <c r="AJ57" i="1"/>
  <c r="AI57" i="1"/>
  <c r="H57" i="4" s="1"/>
  <c r="AL56" i="1"/>
  <c r="AJ56" i="1"/>
  <c r="AI56" i="1"/>
  <c r="H56" i="4" s="1"/>
  <c r="AL55" i="1"/>
  <c r="AJ55" i="1"/>
  <c r="AI55" i="1"/>
  <c r="H55" i="4" s="1"/>
  <c r="AL54" i="1"/>
  <c r="AJ54" i="1"/>
  <c r="AI54" i="1"/>
  <c r="H54" i="4" s="1"/>
  <c r="AL53" i="1"/>
  <c r="AJ53" i="1"/>
  <c r="AI53" i="1"/>
  <c r="H53" i="4" s="1"/>
  <c r="AL52" i="1"/>
  <c r="AJ52" i="1"/>
  <c r="AI52" i="1"/>
  <c r="H52" i="4" s="1"/>
  <c r="AL51" i="1"/>
  <c r="AJ51" i="1"/>
  <c r="AI51" i="1"/>
  <c r="H51" i="4" s="1"/>
  <c r="AL50" i="1"/>
  <c r="AJ50" i="1"/>
  <c r="AI50" i="1"/>
  <c r="H50" i="4" s="1"/>
  <c r="AL49" i="1"/>
  <c r="AI49" i="1"/>
  <c r="H49" i="4" s="1"/>
  <c r="AL48" i="1"/>
  <c r="AI48" i="1"/>
  <c r="H48" i="4" s="1"/>
  <c r="AL47" i="1"/>
  <c r="AI47" i="1"/>
  <c r="H47" i="4" s="1"/>
  <c r="AL46" i="1"/>
  <c r="AJ46" i="1"/>
  <c r="AI46" i="1"/>
  <c r="H46" i="4" s="1"/>
  <c r="AL45" i="1"/>
  <c r="AJ45" i="1"/>
  <c r="AI45" i="1"/>
  <c r="H45" i="4" s="1"/>
  <c r="AL44" i="1"/>
  <c r="AJ44" i="1"/>
  <c r="AI44" i="1"/>
  <c r="H44" i="4" s="1"/>
  <c r="AL43" i="1"/>
  <c r="AJ43" i="1"/>
  <c r="AI43" i="1"/>
  <c r="H43" i="4" s="1"/>
  <c r="AL42" i="1"/>
  <c r="AJ42" i="1"/>
  <c r="AI42" i="1"/>
  <c r="H42" i="4" s="1"/>
  <c r="AL41" i="1"/>
  <c r="AJ41" i="1"/>
  <c r="AI41" i="1"/>
  <c r="H41" i="4" s="1"/>
  <c r="AL40" i="1"/>
  <c r="AJ40" i="1"/>
  <c r="AI40" i="1"/>
  <c r="H40" i="4" s="1"/>
  <c r="AL39" i="1"/>
  <c r="AJ39" i="1"/>
  <c r="AI39" i="1"/>
  <c r="H39" i="4" s="1"/>
  <c r="AM38" i="1"/>
  <c r="L38" i="4" s="1"/>
  <c r="AL38" i="1"/>
  <c r="AJ38" i="1"/>
  <c r="AI38" i="1"/>
  <c r="H38" i="4" s="1"/>
  <c r="AL37" i="1"/>
  <c r="AI37" i="1"/>
  <c r="H37" i="4" s="1"/>
  <c r="AL36" i="1"/>
  <c r="AJ36" i="1"/>
  <c r="AI36" i="1"/>
  <c r="H36" i="4" s="1"/>
  <c r="AL35" i="1"/>
  <c r="AI35" i="1"/>
  <c r="H35" i="4" s="1"/>
  <c r="AL34" i="1"/>
  <c r="AJ34" i="1"/>
  <c r="AI34" i="1"/>
  <c r="H34" i="4" s="1"/>
  <c r="AL33" i="1"/>
  <c r="AJ33" i="1"/>
  <c r="AI33" i="1"/>
  <c r="H33" i="4" s="1"/>
  <c r="AL32" i="1"/>
  <c r="AI32" i="1"/>
  <c r="H32" i="4" s="1"/>
  <c r="AL31" i="1"/>
  <c r="AJ31" i="1"/>
  <c r="AI31" i="1"/>
  <c r="H31" i="4" s="1"/>
  <c r="AL30" i="1"/>
  <c r="AJ30" i="1"/>
  <c r="AI30" i="1"/>
  <c r="H30" i="4" s="1"/>
  <c r="AL29" i="1"/>
  <c r="AJ29" i="1"/>
  <c r="AI29" i="1"/>
  <c r="H29" i="4" s="1"/>
  <c r="AL28" i="1"/>
  <c r="AI28" i="1"/>
  <c r="H28" i="4" s="1"/>
  <c r="AL27" i="1"/>
  <c r="AJ27" i="1"/>
  <c r="AI27" i="1"/>
  <c r="H27" i="4" s="1"/>
  <c r="AL26" i="1"/>
  <c r="AJ26" i="1"/>
  <c r="AI26" i="1"/>
  <c r="H26" i="4" s="1"/>
  <c r="AL25" i="1"/>
  <c r="AJ25" i="1"/>
  <c r="AI25" i="1"/>
  <c r="H25" i="4" s="1"/>
  <c r="AL24" i="1"/>
  <c r="AJ24" i="1"/>
  <c r="AI24" i="1"/>
  <c r="H24" i="4" s="1"/>
  <c r="AL23" i="1"/>
  <c r="AI23" i="1"/>
  <c r="H23" i="4" s="1"/>
  <c r="AL22" i="1"/>
  <c r="AJ22" i="1"/>
  <c r="AI22" i="1"/>
  <c r="H22" i="4" s="1"/>
  <c r="AL21" i="1"/>
  <c r="AI21" i="1"/>
  <c r="H21" i="4" s="1"/>
  <c r="AL20" i="1"/>
  <c r="AI20" i="1"/>
  <c r="H20" i="4" s="1"/>
  <c r="AL19" i="1"/>
  <c r="AJ19" i="1"/>
  <c r="AI19" i="1"/>
  <c r="H19" i="4" s="1"/>
  <c r="AL18" i="1"/>
  <c r="AI18" i="1"/>
  <c r="H18" i="4" s="1"/>
  <c r="AL17" i="1"/>
  <c r="AJ17" i="1"/>
  <c r="AI17" i="1"/>
  <c r="H17" i="4" s="1"/>
  <c r="AL16" i="1"/>
  <c r="AJ16" i="1"/>
  <c r="AI16" i="1"/>
  <c r="H16" i="4" s="1"/>
  <c r="AL15" i="1"/>
  <c r="AI15" i="1"/>
  <c r="H15" i="4" s="1"/>
  <c r="AL14" i="1"/>
  <c r="AI14" i="1"/>
  <c r="H14" i="4" s="1"/>
  <c r="AL13" i="1"/>
  <c r="AJ13" i="1"/>
  <c r="AI13" i="1"/>
  <c r="H13" i="4" s="1"/>
  <c r="AL12" i="1"/>
  <c r="AJ12" i="1"/>
  <c r="AI12" i="1"/>
  <c r="H12" i="4" s="1"/>
  <c r="AL11" i="1"/>
  <c r="AJ11" i="1"/>
  <c r="AI11" i="1"/>
  <c r="H11" i="4" s="1"/>
  <c r="AL10" i="1"/>
  <c r="AI10" i="1"/>
  <c r="H10" i="4" s="1"/>
  <c r="AL9" i="1"/>
  <c r="AI9" i="1"/>
  <c r="H9" i="4" s="1"/>
  <c r="AL8" i="1"/>
  <c r="AI8" i="1"/>
  <c r="H8" i="4" s="1"/>
  <c r="AL7" i="1"/>
  <c r="AJ7" i="1"/>
  <c r="AI7" i="1"/>
  <c r="H7" i="4" s="1"/>
  <c r="AL6" i="1"/>
  <c r="AJ6" i="1"/>
  <c r="AI6" i="1"/>
  <c r="H6" i="4" s="1"/>
  <c r="AL5" i="1"/>
  <c r="AI5" i="1"/>
  <c r="H5" i="4" s="1"/>
  <c r="AL4" i="1"/>
  <c r="AI4" i="1"/>
  <c r="H4" i="4" s="1"/>
  <c r="AL3" i="1"/>
  <c r="AI3" i="1"/>
  <c r="H3" i="4" s="1"/>
  <c r="AL2" i="1"/>
  <c r="AI2" i="1"/>
  <c r="H2" i="4" s="1"/>
  <c r="K101" i="4" l="1"/>
  <c r="AM101" i="1"/>
  <c r="AN101" i="1"/>
  <c r="M101" i="4" s="1"/>
  <c r="AM111" i="1"/>
  <c r="L111" i="4" s="1"/>
  <c r="AN111" i="1"/>
  <c r="M111" i="4" s="1"/>
  <c r="AP111" i="1"/>
  <c r="J111" i="4"/>
  <c r="AO111" i="1"/>
  <c r="N111" i="4" s="1"/>
  <c r="AN110" i="1"/>
  <c r="M110" i="4" s="1"/>
  <c r="AM110" i="1"/>
  <c r="L110" i="4" s="1"/>
  <c r="AO110" i="1"/>
  <c r="N110" i="4" s="1"/>
  <c r="AP110" i="1"/>
  <c r="J110" i="4"/>
  <c r="AM109" i="1"/>
  <c r="AN109" i="1"/>
  <c r="M109" i="4" s="1"/>
  <c r="AM108" i="1"/>
  <c r="AN108" i="1"/>
  <c r="M108" i="4" s="1"/>
  <c r="AN107" i="1"/>
  <c r="M107" i="4" s="1"/>
  <c r="AM107" i="1"/>
  <c r="L107" i="4" s="1"/>
  <c r="J107" i="4"/>
  <c r="AO107" i="1"/>
  <c r="N107" i="4" s="1"/>
  <c r="AP107" i="1"/>
  <c r="AN106" i="1"/>
  <c r="M106" i="4" s="1"/>
  <c r="AM106" i="1"/>
  <c r="L106" i="4" s="1"/>
  <c r="J106" i="4"/>
  <c r="AO106" i="1"/>
  <c r="N106" i="4" s="1"/>
  <c r="AP106" i="1"/>
  <c r="AM105" i="1"/>
  <c r="L105" i="4" s="1"/>
  <c r="AN105" i="1"/>
  <c r="M105" i="4" s="1"/>
  <c r="AO105" i="1"/>
  <c r="N105" i="4" s="1"/>
  <c r="AP105" i="1"/>
  <c r="J105" i="4"/>
  <c r="AM104" i="1"/>
  <c r="L104" i="4" s="1"/>
  <c r="AN104" i="1"/>
  <c r="M104" i="4" s="1"/>
  <c r="J104" i="4"/>
  <c r="AO104" i="1"/>
  <c r="N104" i="4" s="1"/>
  <c r="AP104" i="1"/>
  <c r="AN103" i="1"/>
  <c r="M103" i="4" s="1"/>
  <c r="AM103" i="1"/>
  <c r="L103" i="4" s="1"/>
  <c r="AO103" i="1"/>
  <c r="N103" i="4" s="1"/>
  <c r="J103" i="4"/>
  <c r="AP103" i="1"/>
  <c r="AM102" i="1"/>
  <c r="L102" i="4" s="1"/>
  <c r="AN102" i="1"/>
  <c r="M102" i="4" s="1"/>
  <c r="AO102" i="1"/>
  <c r="N102" i="4" s="1"/>
  <c r="AP102" i="1"/>
  <c r="J102" i="4"/>
  <c r="AN100" i="1"/>
  <c r="M100" i="4" s="1"/>
  <c r="AM100" i="1"/>
  <c r="AN99" i="1"/>
  <c r="M99" i="4" s="1"/>
  <c r="AM99" i="1"/>
  <c r="L99" i="4" s="1"/>
  <c r="AO99" i="1"/>
  <c r="N99" i="4" s="1"/>
  <c r="AP99" i="1"/>
  <c r="J99" i="4"/>
  <c r="AN98" i="1"/>
  <c r="M98" i="4" s="1"/>
  <c r="AM98" i="1"/>
  <c r="L98" i="4" s="1"/>
  <c r="AO98" i="1"/>
  <c r="N98" i="4" s="1"/>
  <c r="AP98" i="1"/>
  <c r="J98" i="4"/>
  <c r="AM97" i="1"/>
  <c r="L97" i="4" s="1"/>
  <c r="AN97" i="1"/>
  <c r="M97" i="4" s="1"/>
  <c r="J97" i="4"/>
  <c r="AO97" i="1"/>
  <c r="N97" i="4" s="1"/>
  <c r="AP97" i="1"/>
  <c r="AN96" i="1"/>
  <c r="M96" i="4" s="1"/>
  <c r="AM96" i="1"/>
  <c r="L96" i="4" s="1"/>
  <c r="AO96" i="1"/>
  <c r="N96" i="4" s="1"/>
  <c r="AP96" i="1"/>
  <c r="J96" i="4"/>
  <c r="AM95" i="1"/>
  <c r="L95" i="4" s="1"/>
  <c r="AN95" i="1"/>
  <c r="M95" i="4" s="1"/>
  <c r="AK95" i="1"/>
  <c r="I95" i="4"/>
  <c r="AM94" i="1"/>
  <c r="L94" i="4" s="1"/>
  <c r="K94" i="4"/>
  <c r="AN94" i="1"/>
  <c r="M94" i="4" s="1"/>
  <c r="I94" i="4"/>
  <c r="AK94" i="1"/>
  <c r="K93" i="4"/>
  <c r="AN93" i="1"/>
  <c r="M93" i="4" s="1"/>
  <c r="AM93" i="1"/>
  <c r="L93" i="4" s="1"/>
  <c r="AK93" i="1"/>
  <c r="I93" i="4"/>
  <c r="AN92" i="1"/>
  <c r="M92" i="4" s="1"/>
  <c r="K92" i="4"/>
  <c r="AM92" i="1"/>
  <c r="K91" i="4"/>
  <c r="AM91" i="1"/>
  <c r="L91" i="4" s="1"/>
  <c r="AN91" i="1"/>
  <c r="M91" i="4" s="1"/>
  <c r="AK91" i="1"/>
  <c r="I91" i="4"/>
  <c r="AM90" i="1"/>
  <c r="L90" i="4" s="1"/>
  <c r="K90" i="4"/>
  <c r="AN90" i="1"/>
  <c r="M90" i="4" s="1"/>
  <c r="AK90" i="1"/>
  <c r="I90" i="4"/>
  <c r="AN89" i="1"/>
  <c r="M89" i="4" s="1"/>
  <c r="AM89" i="1"/>
  <c r="L89" i="4" s="1"/>
  <c r="K89" i="4"/>
  <c r="I89" i="4"/>
  <c r="AK89" i="1"/>
  <c r="K88" i="4"/>
  <c r="AN88" i="1"/>
  <c r="M88" i="4" s="1"/>
  <c r="AM88" i="1"/>
  <c r="L88" i="4" s="1"/>
  <c r="I88" i="4"/>
  <c r="AK88" i="1"/>
  <c r="K87" i="4"/>
  <c r="AN87" i="1"/>
  <c r="M87" i="4" s="1"/>
  <c r="AM87" i="1"/>
  <c r="AN86" i="1"/>
  <c r="M86" i="4" s="1"/>
  <c r="K86" i="4"/>
  <c r="AM86" i="1"/>
  <c r="L86" i="4" s="1"/>
  <c r="I86" i="4"/>
  <c r="AK86" i="1"/>
  <c r="K85" i="4"/>
  <c r="AN85" i="1"/>
  <c r="M85" i="4" s="1"/>
  <c r="AM85" i="1"/>
  <c r="L85" i="4" s="1"/>
  <c r="AK85" i="1"/>
  <c r="I85" i="4"/>
  <c r="K84" i="4"/>
  <c r="AM84" i="1"/>
  <c r="L84" i="4" s="1"/>
  <c r="AN84" i="1"/>
  <c r="M84" i="4" s="1"/>
  <c r="I84" i="4"/>
  <c r="AK84" i="1"/>
  <c r="AN83" i="1"/>
  <c r="M83" i="4" s="1"/>
  <c r="K83" i="4"/>
  <c r="AM83" i="1"/>
  <c r="L83" i="4" s="1"/>
  <c r="I83" i="4"/>
  <c r="AK83" i="1"/>
  <c r="K82" i="4"/>
  <c r="AN82" i="1"/>
  <c r="M82" i="4" s="1"/>
  <c r="AM82" i="1"/>
  <c r="L82" i="4" s="1"/>
  <c r="I82" i="4"/>
  <c r="AK82" i="1"/>
  <c r="K81" i="4"/>
  <c r="AM81" i="1"/>
  <c r="L81" i="4" s="1"/>
  <c r="AN81" i="1"/>
  <c r="M81" i="4" s="1"/>
  <c r="I81" i="4"/>
  <c r="AK81" i="1"/>
  <c r="AN80" i="1"/>
  <c r="M80" i="4" s="1"/>
  <c r="K80" i="4"/>
  <c r="AM80" i="1"/>
  <c r="L80" i="4" s="1"/>
  <c r="I80" i="4"/>
  <c r="AK80" i="1"/>
  <c r="AN79" i="1"/>
  <c r="M79" i="4" s="1"/>
  <c r="K79" i="4"/>
  <c r="AM79" i="1"/>
  <c r="L79" i="4" s="1"/>
  <c r="I79" i="4"/>
  <c r="AK79" i="1"/>
  <c r="AN78" i="1"/>
  <c r="M78" i="4" s="1"/>
  <c r="K78" i="4"/>
  <c r="AM78" i="1"/>
  <c r="L78" i="4" s="1"/>
  <c r="AK78" i="1"/>
  <c r="I78" i="4"/>
  <c r="AN77" i="1"/>
  <c r="M77" i="4" s="1"/>
  <c r="AM77" i="1"/>
  <c r="K77" i="4"/>
  <c r="AN76" i="1"/>
  <c r="M76" i="4" s="1"/>
  <c r="K76" i="4"/>
  <c r="AM76" i="1"/>
  <c r="L76" i="4" s="1"/>
  <c r="AK76" i="1"/>
  <c r="I76" i="4"/>
  <c r="AN75" i="1"/>
  <c r="M75" i="4" s="1"/>
  <c r="AM75" i="1"/>
  <c r="L75" i="4" s="1"/>
  <c r="K75" i="4"/>
  <c r="AK75" i="1"/>
  <c r="I75" i="4"/>
  <c r="AN74" i="1"/>
  <c r="M74" i="4" s="1"/>
  <c r="AM74" i="1"/>
  <c r="L74" i="4" s="1"/>
  <c r="K74" i="4"/>
  <c r="I74" i="4"/>
  <c r="AK74" i="1"/>
  <c r="AN73" i="1"/>
  <c r="M73" i="4" s="1"/>
  <c r="AM73" i="1"/>
  <c r="L73" i="4" s="1"/>
  <c r="K73" i="4"/>
  <c r="AK73" i="1"/>
  <c r="I73" i="4"/>
  <c r="K72" i="4"/>
  <c r="AM72" i="1"/>
  <c r="AN72" i="1"/>
  <c r="M72" i="4" s="1"/>
  <c r="K71" i="4"/>
  <c r="AM71" i="1"/>
  <c r="L71" i="4" s="1"/>
  <c r="AN71" i="1"/>
  <c r="M71" i="4" s="1"/>
  <c r="AK71" i="1"/>
  <c r="I71" i="4"/>
  <c r="AN70" i="1"/>
  <c r="M70" i="4" s="1"/>
  <c r="AM70" i="1"/>
  <c r="L70" i="4" s="1"/>
  <c r="K70" i="4"/>
  <c r="I70" i="4"/>
  <c r="AK70" i="1"/>
  <c r="K69" i="4"/>
  <c r="AM69" i="1"/>
  <c r="L69" i="4" s="1"/>
  <c r="AN69" i="1"/>
  <c r="M69" i="4" s="1"/>
  <c r="AK69" i="1"/>
  <c r="I69" i="4"/>
  <c r="K68" i="4"/>
  <c r="AN68" i="1"/>
  <c r="M68" i="4" s="1"/>
  <c r="AM68" i="1"/>
  <c r="L68" i="4" s="1"/>
  <c r="I68" i="4"/>
  <c r="AK68" i="1"/>
  <c r="AN67" i="1"/>
  <c r="M67" i="4" s="1"/>
  <c r="K67" i="4"/>
  <c r="AM67" i="1"/>
  <c r="L67" i="4" s="1"/>
  <c r="I67" i="4"/>
  <c r="AK67" i="1"/>
  <c r="K66" i="4"/>
  <c r="AM66" i="1"/>
  <c r="L66" i="4" s="1"/>
  <c r="AN66" i="1"/>
  <c r="M66" i="4" s="1"/>
  <c r="I66" i="4"/>
  <c r="AK66" i="1"/>
  <c r="K65" i="4"/>
  <c r="AN65" i="1"/>
  <c r="M65" i="4" s="1"/>
  <c r="AM65" i="1"/>
  <c r="L65" i="4" s="1"/>
  <c r="AK65" i="1"/>
  <c r="I65" i="4"/>
  <c r="AM64" i="1"/>
  <c r="L64" i="4" s="1"/>
  <c r="K64" i="4"/>
  <c r="AN64" i="1"/>
  <c r="M64" i="4" s="1"/>
  <c r="AK64" i="1"/>
  <c r="I64" i="4"/>
  <c r="AM63" i="1"/>
  <c r="L63" i="4" s="1"/>
  <c r="K63" i="4"/>
  <c r="AN63" i="1"/>
  <c r="M63" i="4" s="1"/>
  <c r="AK63" i="1"/>
  <c r="I63" i="4"/>
  <c r="AN62" i="1"/>
  <c r="M62" i="4" s="1"/>
  <c r="K62" i="4"/>
  <c r="AM62" i="1"/>
  <c r="L62" i="4" s="1"/>
  <c r="AK62" i="1"/>
  <c r="I62" i="4"/>
  <c r="K61" i="4"/>
  <c r="AN61" i="1"/>
  <c r="M61" i="4" s="1"/>
  <c r="AM61" i="1"/>
  <c r="L61" i="4" s="1"/>
  <c r="I61" i="4"/>
  <c r="AK61" i="1"/>
  <c r="K60" i="4"/>
  <c r="AM60" i="1"/>
  <c r="L60" i="4" s="1"/>
  <c r="AN60" i="1"/>
  <c r="M60" i="4" s="1"/>
  <c r="I60" i="4"/>
  <c r="AK60" i="1"/>
  <c r="K59" i="4"/>
  <c r="AN59" i="1"/>
  <c r="M59" i="4" s="1"/>
  <c r="AM59" i="1"/>
  <c r="L59" i="4" s="1"/>
  <c r="I59" i="4"/>
  <c r="AK59" i="1"/>
  <c r="K58" i="4"/>
  <c r="AM58" i="1"/>
  <c r="L58" i="4" s="1"/>
  <c r="AN58" i="1"/>
  <c r="M58" i="4" s="1"/>
  <c r="I58" i="4"/>
  <c r="AK58" i="1"/>
  <c r="K57" i="4"/>
  <c r="AM57" i="1"/>
  <c r="L57" i="4" s="1"/>
  <c r="AN57" i="1"/>
  <c r="M57" i="4" s="1"/>
  <c r="I57" i="4"/>
  <c r="AK57" i="1"/>
  <c r="AN56" i="1"/>
  <c r="M56" i="4" s="1"/>
  <c r="AM56" i="1"/>
  <c r="L56" i="4" s="1"/>
  <c r="K56" i="4"/>
  <c r="AK56" i="1"/>
  <c r="I56" i="4"/>
  <c r="AN55" i="1"/>
  <c r="M55" i="4" s="1"/>
  <c r="AM55" i="1"/>
  <c r="L55" i="4" s="1"/>
  <c r="K55" i="4"/>
  <c r="AK55" i="1"/>
  <c r="I55" i="4"/>
  <c r="AM54" i="1"/>
  <c r="L54" i="4" s="1"/>
  <c r="AN54" i="1"/>
  <c r="M54" i="4" s="1"/>
  <c r="K54" i="4"/>
  <c r="AK54" i="1"/>
  <c r="I54" i="4"/>
  <c r="AM53" i="1"/>
  <c r="L53" i="4" s="1"/>
  <c r="AN53" i="1"/>
  <c r="M53" i="4" s="1"/>
  <c r="K53" i="4"/>
  <c r="AK53" i="1"/>
  <c r="I53" i="4"/>
  <c r="AN52" i="1"/>
  <c r="M52" i="4" s="1"/>
  <c r="AM52" i="1"/>
  <c r="L52" i="4" s="1"/>
  <c r="K52" i="4"/>
  <c r="I52" i="4"/>
  <c r="AK52" i="1"/>
  <c r="AN51" i="1"/>
  <c r="M51" i="4" s="1"/>
  <c r="AM51" i="1"/>
  <c r="L51" i="4" s="1"/>
  <c r="K51" i="4"/>
  <c r="I51" i="4"/>
  <c r="AK51" i="1"/>
  <c r="K50" i="4"/>
  <c r="AN50" i="1"/>
  <c r="M50" i="4" s="1"/>
  <c r="AM50" i="1"/>
  <c r="L50" i="4" s="1"/>
  <c r="AK50" i="1"/>
  <c r="I50" i="4"/>
  <c r="AN49" i="1"/>
  <c r="M49" i="4" s="1"/>
  <c r="AM49" i="1"/>
  <c r="K49" i="4"/>
  <c r="K48" i="4"/>
  <c r="AM48" i="1"/>
  <c r="AN48" i="1"/>
  <c r="M48" i="4" s="1"/>
  <c r="K47" i="4"/>
  <c r="AM47" i="1"/>
  <c r="AN47" i="1"/>
  <c r="M47" i="4" s="1"/>
  <c r="AN46" i="1"/>
  <c r="M46" i="4" s="1"/>
  <c r="AM46" i="1"/>
  <c r="L46" i="4" s="1"/>
  <c r="K46" i="4"/>
  <c r="AK46" i="1"/>
  <c r="I46" i="4"/>
  <c r="K45" i="4"/>
  <c r="AM45" i="1"/>
  <c r="L45" i="4" s="1"/>
  <c r="AN45" i="1"/>
  <c r="M45" i="4" s="1"/>
  <c r="I45" i="4"/>
  <c r="AK45" i="1"/>
  <c r="AM44" i="1"/>
  <c r="L44" i="4" s="1"/>
  <c r="AN44" i="1"/>
  <c r="M44" i="4" s="1"/>
  <c r="K44" i="4"/>
  <c r="AK44" i="1"/>
  <c r="I44" i="4"/>
  <c r="AM43" i="1"/>
  <c r="L43" i="4" s="1"/>
  <c r="AN43" i="1"/>
  <c r="M43" i="4" s="1"/>
  <c r="K43" i="4"/>
  <c r="I43" i="4"/>
  <c r="AK43" i="1"/>
  <c r="AM42" i="1"/>
  <c r="L42" i="4" s="1"/>
  <c r="AN42" i="1"/>
  <c r="M42" i="4" s="1"/>
  <c r="K42" i="4"/>
  <c r="AK42" i="1"/>
  <c r="I42" i="4"/>
  <c r="AM41" i="1"/>
  <c r="L41" i="4" s="1"/>
  <c r="AN41" i="1"/>
  <c r="M41" i="4" s="1"/>
  <c r="K41" i="4"/>
  <c r="AK41" i="1"/>
  <c r="I41" i="4"/>
  <c r="K40" i="4"/>
  <c r="AM40" i="1"/>
  <c r="L40" i="4" s="1"/>
  <c r="AN40" i="1"/>
  <c r="M40" i="4" s="1"/>
  <c r="AK40" i="1"/>
  <c r="I40" i="4"/>
  <c r="AN39" i="1"/>
  <c r="M39" i="4" s="1"/>
  <c r="AM39" i="1"/>
  <c r="L39" i="4" s="1"/>
  <c r="K39" i="4"/>
  <c r="AK39" i="1"/>
  <c r="I39" i="4"/>
  <c r="AN38" i="1"/>
  <c r="M38" i="4" s="1"/>
  <c r="K38" i="4"/>
  <c r="AK38" i="1"/>
  <c r="I38" i="4"/>
  <c r="AM37" i="1"/>
  <c r="AN37" i="1"/>
  <c r="M37" i="4" s="1"/>
  <c r="K37" i="4"/>
  <c r="AM36" i="1"/>
  <c r="L36" i="4" s="1"/>
  <c r="AN36" i="1"/>
  <c r="M36" i="4" s="1"/>
  <c r="K36" i="4"/>
  <c r="I36" i="4"/>
  <c r="AK36" i="1"/>
  <c r="AM35" i="1"/>
  <c r="K35" i="4"/>
  <c r="AN35" i="1"/>
  <c r="M35" i="4" s="1"/>
  <c r="AN34" i="1"/>
  <c r="M34" i="4" s="1"/>
  <c r="K34" i="4"/>
  <c r="AM34" i="1"/>
  <c r="L34" i="4" s="1"/>
  <c r="I34" i="4"/>
  <c r="AK34" i="1"/>
  <c r="K33" i="4"/>
  <c r="AN33" i="1"/>
  <c r="M33" i="4" s="1"/>
  <c r="AM33" i="1"/>
  <c r="L33" i="4" s="1"/>
  <c r="I33" i="4"/>
  <c r="AK33" i="1"/>
  <c r="K32" i="4"/>
  <c r="AM32" i="1"/>
  <c r="AN32" i="1"/>
  <c r="M32" i="4" s="1"/>
  <c r="K31" i="4"/>
  <c r="AN31" i="1"/>
  <c r="M31" i="4" s="1"/>
  <c r="AM31" i="1"/>
  <c r="L31" i="4" s="1"/>
  <c r="I31" i="4"/>
  <c r="AK31" i="1"/>
  <c r="K30" i="4"/>
  <c r="AN30" i="1"/>
  <c r="M30" i="4" s="1"/>
  <c r="AM30" i="1"/>
  <c r="L30" i="4" s="1"/>
  <c r="AK30" i="1"/>
  <c r="I30" i="4"/>
  <c r="AM29" i="1"/>
  <c r="L29" i="4" s="1"/>
  <c r="AN29" i="1"/>
  <c r="M29" i="4" s="1"/>
  <c r="K29" i="4"/>
  <c r="AK29" i="1"/>
  <c r="I29" i="4"/>
  <c r="AN28" i="1"/>
  <c r="M28" i="4" s="1"/>
  <c r="AM28" i="1"/>
  <c r="K28" i="4"/>
  <c r="K27" i="4"/>
  <c r="AN27" i="1"/>
  <c r="M27" i="4" s="1"/>
  <c r="AM27" i="1"/>
  <c r="L27" i="4" s="1"/>
  <c r="I27" i="4"/>
  <c r="AK27" i="1"/>
  <c r="AN26" i="1"/>
  <c r="M26" i="4" s="1"/>
  <c r="AM26" i="1"/>
  <c r="L26" i="4" s="1"/>
  <c r="K26" i="4"/>
  <c r="AK26" i="1"/>
  <c r="I26" i="4"/>
  <c r="AM25" i="1"/>
  <c r="L25" i="4" s="1"/>
  <c r="AN25" i="1"/>
  <c r="M25" i="4" s="1"/>
  <c r="K25" i="4"/>
  <c r="AK25" i="1"/>
  <c r="I25" i="4"/>
  <c r="K24" i="4"/>
  <c r="AN24" i="1"/>
  <c r="M24" i="4" s="1"/>
  <c r="AM24" i="1"/>
  <c r="L24" i="4" s="1"/>
  <c r="I24" i="4"/>
  <c r="AK24" i="1"/>
  <c r="K23" i="4"/>
  <c r="AN23" i="1"/>
  <c r="M23" i="4" s="1"/>
  <c r="AM23" i="1"/>
  <c r="K22" i="4"/>
  <c r="AN22" i="1"/>
  <c r="M22" i="4" s="1"/>
  <c r="AM22" i="1"/>
  <c r="L22" i="4" s="1"/>
  <c r="I22" i="4"/>
  <c r="AK22" i="1"/>
  <c r="K21" i="4"/>
  <c r="AN21" i="1"/>
  <c r="M21" i="4" s="1"/>
  <c r="AM21" i="1"/>
  <c r="K20" i="4"/>
  <c r="AN20" i="1"/>
  <c r="M20" i="4" s="1"/>
  <c r="AM20" i="1"/>
  <c r="K19" i="4"/>
  <c r="AM19" i="1"/>
  <c r="L19" i="4" s="1"/>
  <c r="AN19" i="1"/>
  <c r="M19" i="4" s="1"/>
  <c r="I19" i="4"/>
  <c r="AK19" i="1"/>
  <c r="AN18" i="1"/>
  <c r="M18" i="4" s="1"/>
  <c r="K18" i="4"/>
  <c r="AM18" i="1"/>
  <c r="K17" i="4"/>
  <c r="AM17" i="1"/>
  <c r="L17" i="4" s="1"/>
  <c r="AN17" i="1"/>
  <c r="M17" i="4" s="1"/>
  <c r="I17" i="4"/>
  <c r="AK17" i="1"/>
  <c r="K16" i="4"/>
  <c r="AN16" i="1"/>
  <c r="M16" i="4" s="1"/>
  <c r="AM16" i="1"/>
  <c r="L16" i="4" s="1"/>
  <c r="I16" i="4"/>
  <c r="AK16" i="1"/>
  <c r="K15" i="4"/>
  <c r="AM15" i="1"/>
  <c r="AN15" i="1"/>
  <c r="M15" i="4" s="1"/>
  <c r="K14" i="4"/>
  <c r="AN14" i="1"/>
  <c r="M14" i="4" s="1"/>
  <c r="AM14" i="1"/>
  <c r="AM13" i="1"/>
  <c r="L13" i="4" s="1"/>
  <c r="AN13" i="1"/>
  <c r="M13" i="4" s="1"/>
  <c r="K13" i="4"/>
  <c r="AK13" i="1"/>
  <c r="I13" i="4"/>
  <c r="AN12" i="1"/>
  <c r="M12" i="4" s="1"/>
  <c r="K12" i="4"/>
  <c r="AM12" i="1"/>
  <c r="L12" i="4" s="1"/>
  <c r="I12" i="4"/>
  <c r="AK12" i="1"/>
  <c r="K11" i="4"/>
  <c r="AM11" i="1"/>
  <c r="L11" i="4" s="1"/>
  <c r="AN11" i="1"/>
  <c r="M11" i="4" s="1"/>
  <c r="I11" i="4"/>
  <c r="AK11" i="1"/>
  <c r="AM10" i="1"/>
  <c r="K10" i="4"/>
  <c r="AN10" i="1"/>
  <c r="M10" i="4" s="1"/>
  <c r="K9" i="4"/>
  <c r="AM9" i="1"/>
  <c r="AN9" i="1"/>
  <c r="M9" i="4" s="1"/>
  <c r="K8" i="4"/>
  <c r="AN8" i="1"/>
  <c r="M8" i="4" s="1"/>
  <c r="AM8" i="1"/>
  <c r="K7" i="4"/>
  <c r="AN7" i="1"/>
  <c r="M7" i="4" s="1"/>
  <c r="AM7" i="1"/>
  <c r="L7" i="4" s="1"/>
  <c r="AK7" i="1"/>
  <c r="I7" i="4"/>
  <c r="AM6" i="1"/>
  <c r="L6" i="4" s="1"/>
  <c r="K6" i="4"/>
  <c r="AN6" i="1"/>
  <c r="M6" i="4" s="1"/>
  <c r="AK6" i="1"/>
  <c r="I6" i="4"/>
  <c r="AM5" i="1"/>
  <c r="K5" i="4"/>
  <c r="AN5" i="1"/>
  <c r="M5" i="4" s="1"/>
  <c r="K4" i="4"/>
  <c r="AN4" i="1"/>
  <c r="M4" i="4" s="1"/>
  <c r="AM4" i="1"/>
  <c r="K3" i="4"/>
  <c r="AM3" i="1"/>
  <c r="AN3" i="1"/>
  <c r="M3" i="4" s="1"/>
  <c r="K2" i="4"/>
  <c r="AM2" i="1"/>
  <c r="AN2" i="1"/>
  <c r="M2" i="4" s="1"/>
  <c r="L101" i="4" l="1"/>
  <c r="AJ101" i="1"/>
  <c r="L109" i="4"/>
  <c r="AJ109" i="1"/>
  <c r="L108" i="4"/>
  <c r="AJ108" i="1"/>
  <c r="L100" i="4"/>
  <c r="AJ100" i="1"/>
  <c r="J95" i="4"/>
  <c r="AO95" i="1"/>
  <c r="N95" i="4" s="1"/>
  <c r="AP95" i="1"/>
  <c r="AO94" i="1"/>
  <c r="N94" i="4" s="1"/>
  <c r="AP94" i="1"/>
  <c r="J94" i="4"/>
  <c r="AO93" i="1"/>
  <c r="N93" i="4" s="1"/>
  <c r="AP93" i="1"/>
  <c r="J93" i="4"/>
  <c r="L92" i="4"/>
  <c r="AJ92" i="1"/>
  <c r="AO91" i="1"/>
  <c r="N91" i="4" s="1"/>
  <c r="AP91" i="1"/>
  <c r="J91" i="4"/>
  <c r="AO90" i="1"/>
  <c r="N90" i="4" s="1"/>
  <c r="AP90" i="1"/>
  <c r="J90" i="4"/>
  <c r="J89" i="4"/>
  <c r="AO89" i="1"/>
  <c r="N89" i="4" s="1"/>
  <c r="AP89" i="1"/>
  <c r="AO88" i="1"/>
  <c r="N88" i="4" s="1"/>
  <c r="AP88" i="1"/>
  <c r="J88" i="4"/>
  <c r="L87" i="4"/>
  <c r="AJ87" i="1"/>
  <c r="J86" i="4"/>
  <c r="AO86" i="1"/>
  <c r="N86" i="4" s="1"/>
  <c r="AP86" i="1"/>
  <c r="AO85" i="1"/>
  <c r="N85" i="4" s="1"/>
  <c r="AP85" i="1"/>
  <c r="J85" i="4"/>
  <c r="J84" i="4"/>
  <c r="AO84" i="1"/>
  <c r="N84" i="4" s="1"/>
  <c r="AP84" i="1"/>
  <c r="AO83" i="1"/>
  <c r="N83" i="4" s="1"/>
  <c r="AP83" i="1"/>
  <c r="J83" i="4"/>
  <c r="J82" i="4"/>
  <c r="AO82" i="1"/>
  <c r="N82" i="4" s="1"/>
  <c r="AP82" i="1"/>
  <c r="AO81" i="1"/>
  <c r="N81" i="4" s="1"/>
  <c r="AP81" i="1"/>
  <c r="J81" i="4"/>
  <c r="AO80" i="1"/>
  <c r="N80" i="4" s="1"/>
  <c r="AP80" i="1"/>
  <c r="J80" i="4"/>
  <c r="J79" i="4"/>
  <c r="AO79" i="1"/>
  <c r="N79" i="4" s="1"/>
  <c r="AP79" i="1"/>
  <c r="AO78" i="1"/>
  <c r="N78" i="4" s="1"/>
  <c r="AP78" i="1"/>
  <c r="J78" i="4"/>
  <c r="AJ77" i="1"/>
  <c r="L77" i="4"/>
  <c r="AO76" i="1"/>
  <c r="N76" i="4" s="1"/>
  <c r="AP76" i="1"/>
  <c r="J76" i="4"/>
  <c r="J75" i="4"/>
  <c r="AO75" i="1"/>
  <c r="N75" i="4" s="1"/>
  <c r="AP75" i="1"/>
  <c r="AO74" i="1"/>
  <c r="N74" i="4" s="1"/>
  <c r="AP74" i="1"/>
  <c r="J74" i="4"/>
  <c r="AO73" i="1"/>
  <c r="N73" i="4" s="1"/>
  <c r="AP73" i="1"/>
  <c r="J73" i="4"/>
  <c r="AJ72" i="1"/>
  <c r="L72" i="4"/>
  <c r="AO71" i="1"/>
  <c r="N71" i="4" s="1"/>
  <c r="AP71" i="1"/>
  <c r="J71" i="4"/>
  <c r="J70" i="4"/>
  <c r="AO70" i="1"/>
  <c r="N70" i="4" s="1"/>
  <c r="AP70" i="1"/>
  <c r="AO69" i="1"/>
  <c r="N69" i="4" s="1"/>
  <c r="AP69" i="1"/>
  <c r="J69" i="4"/>
  <c r="J68" i="4"/>
  <c r="AO68" i="1"/>
  <c r="N68" i="4" s="1"/>
  <c r="AP68" i="1"/>
  <c r="AO67" i="1"/>
  <c r="N67" i="4" s="1"/>
  <c r="AP67" i="1"/>
  <c r="J67" i="4"/>
  <c r="J66" i="4"/>
  <c r="AO66" i="1"/>
  <c r="N66" i="4" s="1"/>
  <c r="AP66" i="1"/>
  <c r="AO65" i="1"/>
  <c r="N65" i="4" s="1"/>
  <c r="AP65" i="1"/>
  <c r="J65" i="4"/>
  <c r="AO64" i="1"/>
  <c r="N64" i="4" s="1"/>
  <c r="AP64" i="1"/>
  <c r="J64" i="4"/>
  <c r="J63" i="4"/>
  <c r="AO63" i="1"/>
  <c r="N63" i="4" s="1"/>
  <c r="AP63" i="1"/>
  <c r="AO62" i="1"/>
  <c r="N62" i="4" s="1"/>
  <c r="AP62" i="1"/>
  <c r="J62" i="4"/>
  <c r="AO61" i="1"/>
  <c r="N61" i="4" s="1"/>
  <c r="AP61" i="1"/>
  <c r="J61" i="4"/>
  <c r="J60" i="4"/>
  <c r="AO60" i="1"/>
  <c r="N60" i="4" s="1"/>
  <c r="AP60" i="1"/>
  <c r="AO59" i="1"/>
  <c r="N59" i="4" s="1"/>
  <c r="AP59" i="1"/>
  <c r="J59" i="4"/>
  <c r="J58" i="4"/>
  <c r="AO58" i="1"/>
  <c r="N58" i="4" s="1"/>
  <c r="AP58" i="1"/>
  <c r="AO57" i="1"/>
  <c r="N57" i="4" s="1"/>
  <c r="AP57" i="1"/>
  <c r="J57" i="4"/>
  <c r="J56" i="4"/>
  <c r="AO56" i="1"/>
  <c r="N56" i="4" s="1"/>
  <c r="AP56" i="1"/>
  <c r="AO55" i="1"/>
  <c r="N55" i="4" s="1"/>
  <c r="AP55" i="1"/>
  <c r="J55" i="4"/>
  <c r="J54" i="4"/>
  <c r="AO54" i="1"/>
  <c r="N54" i="4" s="1"/>
  <c r="AP54" i="1"/>
  <c r="AO53" i="1"/>
  <c r="N53" i="4" s="1"/>
  <c r="AP53" i="1"/>
  <c r="J53" i="4"/>
  <c r="J52" i="4"/>
  <c r="AO52" i="1"/>
  <c r="N52" i="4" s="1"/>
  <c r="AP52" i="1"/>
  <c r="AO51" i="1"/>
  <c r="N51" i="4" s="1"/>
  <c r="AP51" i="1"/>
  <c r="J51" i="4"/>
  <c r="J50" i="4"/>
  <c r="AO50" i="1"/>
  <c r="N50" i="4" s="1"/>
  <c r="AP50" i="1"/>
  <c r="L49" i="4"/>
  <c r="AJ49" i="1"/>
  <c r="AJ48" i="1"/>
  <c r="L48" i="4"/>
  <c r="L47" i="4"/>
  <c r="AJ47" i="1"/>
  <c r="AO46" i="1"/>
  <c r="N46" i="4" s="1"/>
  <c r="AP46" i="1"/>
  <c r="J46" i="4"/>
  <c r="J45" i="4"/>
  <c r="AO45" i="1"/>
  <c r="N45" i="4" s="1"/>
  <c r="AP45" i="1"/>
  <c r="AO44" i="1"/>
  <c r="N44" i="4" s="1"/>
  <c r="AP44" i="1"/>
  <c r="J44" i="4"/>
  <c r="J43" i="4"/>
  <c r="AO43" i="1"/>
  <c r="N43" i="4" s="1"/>
  <c r="AP43" i="1"/>
  <c r="AO42" i="1"/>
  <c r="N42" i="4" s="1"/>
  <c r="AP42" i="1"/>
  <c r="J42" i="4"/>
  <c r="J41" i="4"/>
  <c r="AO41" i="1"/>
  <c r="N41" i="4" s="1"/>
  <c r="AP41" i="1"/>
  <c r="AO40" i="1"/>
  <c r="N40" i="4" s="1"/>
  <c r="AP40" i="1"/>
  <c r="J40" i="4"/>
  <c r="J39" i="4"/>
  <c r="AO39" i="1"/>
  <c r="N39" i="4" s="1"/>
  <c r="AP39" i="1"/>
  <c r="AO38" i="1"/>
  <c r="N38" i="4" s="1"/>
  <c r="AP38" i="1"/>
  <c r="J38" i="4"/>
  <c r="L37" i="4"/>
  <c r="AJ37" i="1"/>
  <c r="AO36" i="1"/>
  <c r="N36" i="4" s="1"/>
  <c r="AP36" i="1"/>
  <c r="J36" i="4"/>
  <c r="AJ35" i="1"/>
  <c r="L35" i="4"/>
  <c r="J34" i="4"/>
  <c r="AO34" i="1"/>
  <c r="N34" i="4" s="1"/>
  <c r="AP34" i="1"/>
  <c r="AO33" i="1"/>
  <c r="N33" i="4" s="1"/>
  <c r="AP33" i="1"/>
  <c r="J33" i="4"/>
  <c r="L32" i="4"/>
  <c r="AJ32" i="1"/>
  <c r="AO31" i="1"/>
  <c r="N31" i="4" s="1"/>
  <c r="AP31" i="1"/>
  <c r="J31" i="4"/>
  <c r="J30" i="4"/>
  <c r="AO30" i="1"/>
  <c r="N30" i="4" s="1"/>
  <c r="AP30" i="1"/>
  <c r="AO29" i="1"/>
  <c r="N29" i="4" s="1"/>
  <c r="AP29" i="1"/>
  <c r="J29" i="4"/>
  <c r="AJ28" i="1"/>
  <c r="L28" i="4"/>
  <c r="AO27" i="1"/>
  <c r="N27" i="4" s="1"/>
  <c r="AP27" i="1"/>
  <c r="J27" i="4"/>
  <c r="J26" i="4"/>
  <c r="AO26" i="1"/>
  <c r="N26" i="4" s="1"/>
  <c r="AP26" i="1"/>
  <c r="AO25" i="1"/>
  <c r="N25" i="4" s="1"/>
  <c r="AP25" i="1"/>
  <c r="J25" i="4"/>
  <c r="J24" i="4"/>
  <c r="AO24" i="1"/>
  <c r="N24" i="4" s="1"/>
  <c r="AP24" i="1"/>
  <c r="L23" i="4"/>
  <c r="AJ23" i="1"/>
  <c r="J22" i="4"/>
  <c r="AO22" i="1"/>
  <c r="N22" i="4" s="1"/>
  <c r="AP22" i="1"/>
  <c r="L21" i="4"/>
  <c r="AJ21" i="1"/>
  <c r="AJ20" i="1"/>
  <c r="L20" i="4"/>
  <c r="AO19" i="1"/>
  <c r="N19" i="4" s="1"/>
  <c r="AP19" i="1"/>
  <c r="J19" i="4"/>
  <c r="L18" i="4"/>
  <c r="AJ18" i="1"/>
  <c r="J17" i="4"/>
  <c r="AO17" i="1"/>
  <c r="N17" i="4" s="1"/>
  <c r="AP17" i="1"/>
  <c r="AO16" i="1"/>
  <c r="N16" i="4" s="1"/>
  <c r="AP16" i="1"/>
  <c r="J16" i="4"/>
  <c r="AJ15" i="1"/>
  <c r="L15" i="4"/>
  <c r="L14" i="4"/>
  <c r="AJ14" i="1"/>
  <c r="J13" i="4"/>
  <c r="AO13" i="1"/>
  <c r="N13" i="4" s="1"/>
  <c r="AP13" i="1"/>
  <c r="AO12" i="1"/>
  <c r="N12" i="4" s="1"/>
  <c r="AP12" i="1"/>
  <c r="J12" i="4"/>
  <c r="J11" i="4"/>
  <c r="AO11" i="1"/>
  <c r="N11" i="4" s="1"/>
  <c r="AP11" i="1"/>
  <c r="L10" i="4"/>
  <c r="AJ10" i="1"/>
  <c r="AJ9" i="1"/>
  <c r="L9" i="4"/>
  <c r="L8" i="4"/>
  <c r="AJ8" i="1"/>
  <c r="J7" i="4"/>
  <c r="AO7" i="1"/>
  <c r="N7" i="4" s="1"/>
  <c r="AP7" i="1"/>
  <c r="AO6" i="1"/>
  <c r="N6" i="4" s="1"/>
  <c r="AP6" i="1"/>
  <c r="J6" i="4"/>
  <c r="L5" i="4"/>
  <c r="AJ5" i="1"/>
  <c r="AJ4" i="1"/>
  <c r="L4" i="4"/>
  <c r="L3" i="4"/>
  <c r="AJ3" i="1"/>
  <c r="L2" i="4"/>
  <c r="AJ2" i="1"/>
  <c r="B5" i="6"/>
  <c r="B6" i="8" s="1"/>
  <c r="AK101" i="1" l="1"/>
  <c r="I101" i="4"/>
  <c r="AK109" i="1"/>
  <c r="I109" i="4"/>
  <c r="AK108" i="1"/>
  <c r="I108" i="4"/>
  <c r="AK100" i="1"/>
  <c r="I100" i="4"/>
  <c r="AK92" i="1"/>
  <c r="I92" i="4"/>
  <c r="AK87" i="1"/>
  <c r="I87" i="4"/>
  <c r="AK77" i="1"/>
  <c r="I77" i="4"/>
  <c r="AK72" i="1"/>
  <c r="I72" i="4"/>
  <c r="AK49" i="1"/>
  <c r="I49" i="4"/>
  <c r="AK48" i="1"/>
  <c r="I48" i="4"/>
  <c r="AK47" i="1"/>
  <c r="I47" i="4"/>
  <c r="AK37" i="1"/>
  <c r="I37" i="4"/>
  <c r="AK35" i="1"/>
  <c r="I35" i="4"/>
  <c r="AK32" i="1"/>
  <c r="I32" i="4"/>
  <c r="AK28" i="1"/>
  <c r="I28" i="4"/>
  <c r="AK23" i="1"/>
  <c r="I23" i="4"/>
  <c r="AK21" i="1"/>
  <c r="I21" i="4"/>
  <c r="AK20" i="1"/>
  <c r="I20" i="4"/>
  <c r="AK18" i="1"/>
  <c r="I18" i="4"/>
  <c r="AK15" i="1"/>
  <c r="I15" i="4"/>
  <c r="AK14" i="1"/>
  <c r="I14" i="4"/>
  <c r="AK10" i="1"/>
  <c r="I10" i="4"/>
  <c r="AK9" i="1"/>
  <c r="I9" i="4"/>
  <c r="AK8" i="1"/>
  <c r="I8" i="4"/>
  <c r="AK5" i="1"/>
  <c r="I5" i="4"/>
  <c r="AK4" i="1"/>
  <c r="I4" i="4"/>
  <c r="AK3" i="1"/>
  <c r="I3" i="4"/>
  <c r="AK2" i="1"/>
  <c r="I2" i="4"/>
  <c r="AO101" i="1" l="1"/>
  <c r="N101" i="4" s="1"/>
  <c r="AP101" i="1"/>
  <c r="J101" i="4"/>
  <c r="AO109" i="1"/>
  <c r="N109" i="4" s="1"/>
  <c r="AP109" i="1"/>
  <c r="J109" i="4"/>
  <c r="AO108" i="1"/>
  <c r="N108" i="4" s="1"/>
  <c r="AP108" i="1"/>
  <c r="J108" i="4"/>
  <c r="AO100" i="1"/>
  <c r="N100" i="4" s="1"/>
  <c r="AP100" i="1"/>
  <c r="J100" i="4"/>
  <c r="AO92" i="1"/>
  <c r="N92" i="4" s="1"/>
  <c r="AP92" i="1"/>
  <c r="J92" i="4"/>
  <c r="AO87" i="1"/>
  <c r="N87" i="4" s="1"/>
  <c r="AP87" i="1"/>
  <c r="J87" i="4"/>
  <c r="J77" i="4"/>
  <c r="AO77" i="1"/>
  <c r="N77" i="4" s="1"/>
  <c r="AP77" i="1"/>
  <c r="J72" i="4"/>
  <c r="AO72" i="1"/>
  <c r="N72" i="4" s="1"/>
  <c r="AP72" i="1"/>
  <c r="AO49" i="1"/>
  <c r="N49" i="4" s="1"/>
  <c r="AP49" i="1"/>
  <c r="J49" i="4"/>
  <c r="J48" i="4"/>
  <c r="AO48" i="1"/>
  <c r="N48" i="4" s="1"/>
  <c r="AP48" i="1"/>
  <c r="AO47" i="1"/>
  <c r="N47" i="4" s="1"/>
  <c r="AP47" i="1"/>
  <c r="J47" i="4"/>
  <c r="AO37" i="1"/>
  <c r="N37" i="4" s="1"/>
  <c r="AP37" i="1"/>
  <c r="J37" i="4"/>
  <c r="J35" i="4"/>
  <c r="AO35" i="1"/>
  <c r="N35" i="4" s="1"/>
  <c r="AP35" i="1"/>
  <c r="J32" i="4"/>
  <c r="AO32" i="1"/>
  <c r="N32" i="4" s="1"/>
  <c r="AP32" i="1"/>
  <c r="J28" i="4"/>
  <c r="AO28" i="1"/>
  <c r="N28" i="4" s="1"/>
  <c r="AP28" i="1"/>
  <c r="AO23" i="1"/>
  <c r="N23" i="4" s="1"/>
  <c r="AP23" i="1"/>
  <c r="J23" i="4"/>
  <c r="AO21" i="1"/>
  <c r="N21" i="4" s="1"/>
  <c r="AP21" i="1"/>
  <c r="J21" i="4"/>
  <c r="J20" i="4"/>
  <c r="AO20" i="1"/>
  <c r="N20" i="4" s="1"/>
  <c r="AP20" i="1"/>
  <c r="AO18" i="1"/>
  <c r="N18" i="4" s="1"/>
  <c r="AP18" i="1"/>
  <c r="J18" i="4"/>
  <c r="J15" i="4"/>
  <c r="AO15" i="1"/>
  <c r="N15" i="4" s="1"/>
  <c r="AP15" i="1"/>
  <c r="AO14" i="1"/>
  <c r="N14" i="4" s="1"/>
  <c r="AP14" i="1"/>
  <c r="J14" i="4"/>
  <c r="AO10" i="1"/>
  <c r="N10" i="4" s="1"/>
  <c r="AP10" i="1"/>
  <c r="J10" i="4"/>
  <c r="J9" i="4"/>
  <c r="AO9" i="1"/>
  <c r="N9" i="4" s="1"/>
  <c r="AP9" i="1"/>
  <c r="AO8" i="1"/>
  <c r="N8" i="4" s="1"/>
  <c r="AP8" i="1"/>
  <c r="J8" i="4"/>
  <c r="AO5" i="1"/>
  <c r="N5" i="4" s="1"/>
  <c r="AP5" i="1"/>
  <c r="J5" i="4"/>
  <c r="J4" i="4"/>
  <c r="AO4" i="1"/>
  <c r="N4" i="4" s="1"/>
  <c r="AP4" i="1"/>
  <c r="AO3" i="1"/>
  <c r="N3" i="4" s="1"/>
  <c r="AP3" i="1"/>
  <c r="J3" i="4"/>
  <c r="B4" i="6"/>
  <c r="B5" i="8" s="1"/>
  <c r="AO2" i="1"/>
  <c r="N2" i="4" s="1"/>
  <c r="AP2" i="1"/>
  <c r="J2" i="4"/>
  <c r="B7" i="6"/>
  <c r="B8" i="8" s="1"/>
  <c r="C2" i="5"/>
  <c r="C3" i="5"/>
  <c r="D3" i="5"/>
  <c r="D4" i="5"/>
  <c r="C5" i="5"/>
  <c r="D5" i="5"/>
  <c r="C6" i="5"/>
  <c r="D7" i="5"/>
  <c r="C7" i="5"/>
  <c r="D8" i="5"/>
  <c r="C8" i="5"/>
  <c r="D9" i="5"/>
  <c r="C9" i="5"/>
  <c r="D10" i="5"/>
  <c r="C10" i="5"/>
  <c r="D11" i="5"/>
  <c r="C11" i="5"/>
  <c r="D12" i="5"/>
  <c r="C12" i="5"/>
  <c r="D13" i="5"/>
  <c r="C13" i="5"/>
  <c r="D14" i="5"/>
  <c r="D15" i="5"/>
  <c r="C15" i="5"/>
  <c r="C16" i="5"/>
  <c r="D16" i="5"/>
  <c r="D17" i="5"/>
  <c r="C17" i="5"/>
  <c r="D18" i="5"/>
  <c r="C18" i="5"/>
  <c r="D19" i="5"/>
  <c r="C19" i="5"/>
  <c r="C20" i="5"/>
  <c r="D20" i="5"/>
  <c r="D21" i="5"/>
  <c r="C21" i="5"/>
  <c r="C22" i="5"/>
  <c r="D22" i="5"/>
  <c r="D24" i="5"/>
  <c r="C24" i="5"/>
  <c r="D25" i="5"/>
  <c r="C25" i="5"/>
  <c r="D26" i="5"/>
  <c r="C26" i="5"/>
  <c r="C27" i="5"/>
  <c r="D27" i="5"/>
  <c r="D2" i="5"/>
  <c r="C4" i="5"/>
  <c r="D6" i="5"/>
  <c r="C14" i="5"/>
  <c r="D23" i="5"/>
  <c r="C23" i="5"/>
</calcChain>
</file>

<file path=xl/sharedStrings.xml><?xml version="1.0" encoding="utf-8"?>
<sst xmlns="http://schemas.openxmlformats.org/spreadsheetml/2006/main" count="2345" uniqueCount="504">
  <si>
    <t>Pipeline Row</t>
  </si>
  <si>
    <t>Deal ID</t>
  </si>
  <si>
    <t>Product / Project</t>
  </si>
  <si>
    <t>Customer</t>
  </si>
  <si>
    <t>Category</t>
  </si>
  <si>
    <t>Quarter</t>
  </si>
  <si>
    <t>Sales Rep</t>
  </si>
  <si>
    <t>Deal Status</t>
  </si>
  <si>
    <t>Include in Forecast</t>
  </si>
  <si>
    <t>Expected Close Date</t>
  </si>
  <si>
    <t>Pipeline Amount</t>
  </si>
  <si>
    <t>Probability</t>
  </si>
  <si>
    <t>Weighted Forecast</t>
  </si>
  <si>
    <t>Approved SO Number(s)</t>
  </si>
  <si>
    <t>Approved SO Amount</t>
  </si>
  <si>
    <t>SO Approved Date</t>
  </si>
  <si>
    <t>Remaining Pipeline After SO</t>
  </si>
  <si>
    <t>SO Conversion %</t>
  </si>
  <si>
    <t>Forecast Status</t>
  </si>
  <si>
    <t>Stale Deal Flag</t>
  </si>
  <si>
    <t>Notes</t>
  </si>
  <si>
    <t>Dashboard Notes</t>
  </si>
  <si>
    <t>Data Quality Check</t>
  </si>
  <si>
    <t>Expected Ship/Invoice Date</t>
  </si>
  <si>
    <t>Expected Cash Date</t>
  </si>
  <si>
    <t>Deposit %</t>
  </si>
  <si>
    <t>Deposit Cash Date</t>
  </si>
  <si>
    <t>Balance Cash Date</t>
  </si>
  <si>
    <t>SO Match Status</t>
  </si>
  <si>
    <t>Converted Amount</t>
  </si>
  <si>
    <t>Remaining Forecast Amount</t>
  </si>
  <si>
    <t>Timing Confidence</t>
  </si>
  <si>
    <t>Last Reviewed Date</t>
  </si>
  <si>
    <t>Manual Override Reason</t>
  </si>
  <si>
    <t>Pipeline Visibility</t>
  </si>
  <si>
    <t>Cash Forecast Eligibility</t>
  </si>
  <si>
    <t>Liquidity Feed Eligible</t>
  </si>
  <si>
    <t>Mapped SO Amount</t>
  </si>
  <si>
    <t>SO Mapping Review Required</t>
  </si>
  <si>
    <t>Remaining Pipeline - Mapping Safe</t>
  </si>
  <si>
    <t>Eligibility Reason</t>
  </si>
  <si>
    <t>Cash Timing Bucket</t>
  </si>
  <si>
    <t>App Control Notes</t>
  </si>
  <si>
    <t>DPS-0002</t>
  </si>
  <si>
    <t>SDJ GEN Z BAGS</t>
  </si>
  <si>
    <t>SDJ</t>
  </si>
  <si>
    <t>SOFT GOODS</t>
  </si>
  <si>
    <t>Q4</t>
  </si>
  <si>
    <t>Danny Park</t>
  </si>
  <si>
    <t>Won</t>
  </si>
  <si>
    <t>Y</t>
  </si>
  <si>
    <t>2026-04-30</t>
  </si>
  <si>
    <t>SO2599, SO2597, SO2598, 2608, 2609, 2610, 2611, 2612, 2613</t>
  </si>
  <si>
    <t>89.1%</t>
  </si>
  <si>
    <t>Partially Converted</t>
  </si>
  <si>
    <t>based on invoice date</t>
  </si>
  <si>
    <t>OK</t>
  </si>
  <si>
    <t>2026-05-30</t>
  </si>
  <si>
    <t>SO Linked</t>
  </si>
  <si>
    <t>High - SO Supported</t>
  </si>
  <si>
    <t>2026-05-23</t>
  </si>
  <si>
    <t>DPS-0004</t>
  </si>
  <si>
    <t>SDJ JET BAGS</t>
  </si>
  <si>
    <t>Q3</t>
  </si>
  <si>
    <t>2026-05-06</t>
  </si>
  <si>
    <t>SO2601, SO2602</t>
  </si>
  <si>
    <t>18.6%</t>
  </si>
  <si>
    <t>2026-06-05</t>
  </si>
  <si>
    <t>DPS-0005</t>
  </si>
  <si>
    <t>Q2</t>
  </si>
  <si>
    <t>2026-02-25</t>
  </si>
  <si>
    <t>open: SO2563, 2564, 2562, invoiced: 2561</t>
  </si>
  <si>
    <t>74.3%</t>
  </si>
  <si>
    <t>2561 is still open, based on invoice date</t>
  </si>
  <si>
    <t>2026-03-27</t>
  </si>
  <si>
    <t>DPS-0006</t>
  </si>
  <si>
    <t>2026-01-15</t>
  </si>
  <si>
    <t>SO2531, 2532</t>
  </si>
  <si>
    <t>22.5%</t>
  </si>
  <si>
    <t>2026-02-14</t>
  </si>
  <si>
    <t>DPS-0007</t>
  </si>
  <si>
    <t>Open</t>
  </si>
  <si>
    <t>0.0%</t>
  </si>
  <si>
    <t>No SO Yet</t>
  </si>
  <si>
    <t>Low - Missing Timing</t>
  </si>
  <si>
    <t>DPS-0009</t>
  </si>
  <si>
    <t>GEN Z - Spring bag</t>
  </si>
  <si>
    <t>DPS-0011</t>
  </si>
  <si>
    <t>2026-04-28</t>
  </si>
  <si>
    <t>SO2547, 2548, 2549; open: 2545, 2546, 2550, 2551, various</t>
  </si>
  <si>
    <t>13.1%</t>
  </si>
  <si>
    <t>CARDS ONLY - invoiced and open</t>
  </si>
  <si>
    <t>2026-05-28</t>
  </si>
  <si>
    <t>DPS-0012</t>
  </si>
  <si>
    <t>Foundation Sample Packets</t>
  </si>
  <si>
    <t>TOWER 28</t>
  </si>
  <si>
    <t>COPACKING</t>
  </si>
  <si>
    <t>Jackie King</t>
  </si>
  <si>
    <t>2026-02-09</t>
  </si>
  <si>
    <t>SO2554</t>
  </si>
  <si>
    <t>101.8%</t>
  </si>
  <si>
    <t>Fully Converted</t>
  </si>
  <si>
    <t>2026-03-11</t>
  </si>
  <si>
    <t>DPS-0013</t>
  </si>
  <si>
    <t>RO - Replenishment</t>
  </si>
  <si>
    <t>RO</t>
  </si>
  <si>
    <t>PRIMARY</t>
  </si>
  <si>
    <t>Q1</t>
  </si>
  <si>
    <t>Jing Santos</t>
  </si>
  <si>
    <t>2026-01-08</t>
  </si>
  <si>
    <t>SO2528, SO2492, SO2508</t>
  </si>
  <si>
    <t>126.9%</t>
  </si>
  <si>
    <t>Review SO over pipeline</t>
  </si>
  <si>
    <t>2026-02-07</t>
  </si>
  <si>
    <t>Do Not Use - Data Issue</t>
  </si>
  <si>
    <t>DPS-0014</t>
  </si>
  <si>
    <t>Pelvic Health (3 SKUs)</t>
  </si>
  <si>
    <t>HAVEN HEALTH</t>
  </si>
  <si>
    <t>TURNKEY</t>
  </si>
  <si>
    <t>DPS-0015</t>
  </si>
  <si>
    <t>DPS-0016</t>
  </si>
  <si>
    <t>Pattern Hair Care Line</t>
  </si>
  <si>
    <t>PATTERN</t>
  </si>
  <si>
    <t>DPS-0017</t>
  </si>
  <si>
    <t>COLOGNE BOXES - Replenishment</t>
  </si>
  <si>
    <t>DRSQ</t>
  </si>
  <si>
    <t>SECONDARY</t>
  </si>
  <si>
    <t>2026-05-13</t>
  </si>
  <si>
    <t>SO2605</t>
  </si>
  <si>
    <t>43.5%</t>
  </si>
  <si>
    <t>2026-06-12</t>
  </si>
  <si>
    <t>DPS-0018</t>
  </si>
  <si>
    <t>2026-04-16</t>
  </si>
  <si>
    <t>SO2588</t>
  </si>
  <si>
    <t>44.1%</t>
  </si>
  <si>
    <t>2026-05-16</t>
  </si>
  <si>
    <t>DPS-0019</t>
  </si>
  <si>
    <t>DPS-0020</t>
  </si>
  <si>
    <t>DPS-0022</t>
  </si>
  <si>
    <t>SWW - Replenishment</t>
  </si>
  <si>
    <t>SWW</t>
  </si>
  <si>
    <t>2026-05-15</t>
  </si>
  <si>
    <t>SO2604</t>
  </si>
  <si>
    <t>51.7%</t>
  </si>
  <si>
    <t>2026-06-14</t>
  </si>
  <si>
    <t>DPS-0023</t>
  </si>
  <si>
    <t>DPS-0024</t>
  </si>
  <si>
    <t>Ritual Fragrance Mist</t>
  </si>
  <si>
    <t>CIRQADIAN</t>
  </si>
  <si>
    <t>2026-03-25</t>
  </si>
  <si>
    <t>SO2527, 2578, 2580, 2581, 2582</t>
  </si>
  <si>
    <t>196.2%</t>
  </si>
  <si>
    <t>2026-04-24</t>
  </si>
  <si>
    <t>DPS-0025</t>
  </si>
  <si>
    <t>2026-01-16</t>
  </si>
  <si>
    <t>SO2538</t>
  </si>
  <si>
    <t>100.0%</t>
  </si>
  <si>
    <t>2026-02-15</t>
  </si>
  <si>
    <t>DPS-0026</t>
  </si>
  <si>
    <t>KONJAC JELLY</t>
  </si>
  <si>
    <t>TEVIS</t>
  </si>
  <si>
    <t>DPS-0027</t>
  </si>
  <si>
    <t>BRAIN MD - Replenishment</t>
  </si>
  <si>
    <t>BRAIN MD</t>
  </si>
  <si>
    <t>2026-01-01</t>
  </si>
  <si>
    <t>SO2525, 2511</t>
  </si>
  <si>
    <t>129.6%</t>
  </si>
  <si>
    <t>2026-01-31</t>
  </si>
  <si>
    <t>DPS-0028</t>
  </si>
  <si>
    <t>DPS-0029</t>
  </si>
  <si>
    <t>Pattern - Replenishment</t>
  </si>
  <si>
    <t>DPS-0030</t>
  </si>
  <si>
    <t>DPS-0031</t>
  </si>
  <si>
    <t>DPS-0032</t>
  </si>
  <si>
    <t>I&amp;R - Replenishment</t>
  </si>
  <si>
    <t>I&amp;R</t>
  </si>
  <si>
    <t>SO2509, 2566</t>
  </si>
  <si>
    <t>114.3%</t>
  </si>
  <si>
    <t>DPS-0033</t>
  </si>
  <si>
    <t>Lost</t>
  </si>
  <si>
    <t>DPS-0034</t>
  </si>
  <si>
    <t>DPS-0035</t>
  </si>
  <si>
    <t>DPS-0036</t>
  </si>
  <si>
    <t>2026-02-11</t>
  </si>
  <si>
    <t>SO2560</t>
  </si>
  <si>
    <t>39.9%</t>
  </si>
  <si>
    <t>2026-03-13</t>
  </si>
  <si>
    <t>DPS-0037</t>
  </si>
  <si>
    <t>5pk Mini Cologne Kit</t>
  </si>
  <si>
    <t>DPS-0038</t>
  </si>
  <si>
    <t>100ML OTG Cologne</t>
  </si>
  <si>
    <t>GET W</t>
  </si>
  <si>
    <t>DPS-0039</t>
  </si>
  <si>
    <t>Sample Pack  - Silk Rinse</t>
  </si>
  <si>
    <t>CECRED</t>
  </si>
  <si>
    <t>2026-05-11</t>
  </si>
  <si>
    <t>SO2603, 2604</t>
  </si>
  <si>
    <t>36.2%</t>
  </si>
  <si>
    <t>2026-06-10</t>
  </si>
  <si>
    <t>DPS-0040</t>
  </si>
  <si>
    <t>DPS-0041</t>
  </si>
  <si>
    <t>SO2565</t>
  </si>
  <si>
    <t>DPS-0042</t>
  </si>
  <si>
    <t>OUAI PET JAR - 250ml</t>
  </si>
  <si>
    <t>OUAI</t>
  </si>
  <si>
    <t>DPS-0043</t>
  </si>
  <si>
    <t>MOCKTAIL LINE</t>
  </si>
  <si>
    <t>DPS-0044</t>
  </si>
  <si>
    <t>Fiber Pills</t>
  </si>
  <si>
    <t>MISTR</t>
  </si>
  <si>
    <t>DPS-0045</t>
  </si>
  <si>
    <t>Semen Enhancer Pills</t>
  </si>
  <si>
    <t>DPS-0046</t>
  </si>
  <si>
    <t>Rave recovery Pill</t>
  </si>
  <si>
    <t>DPS-0047</t>
  </si>
  <si>
    <t>Probiotic Gummy</t>
  </si>
  <si>
    <t>DPS-0048</t>
  </si>
  <si>
    <t>OUIA PP Jar 250ml</t>
  </si>
  <si>
    <t>DPS-0049</t>
  </si>
  <si>
    <t>TRAVEL CASE - Replenishment</t>
  </si>
  <si>
    <t>DPS-0050</t>
  </si>
  <si>
    <t>LUBE</t>
  </si>
  <si>
    <t>DPS-0051</t>
  </si>
  <si>
    <t>SO2505</t>
  </si>
  <si>
    <t>100.7%</t>
  </si>
  <si>
    <t>DPS-0052</t>
  </si>
  <si>
    <t>SO2523</t>
  </si>
  <si>
    <t>DPS-0053</t>
  </si>
  <si>
    <t>SO2510</t>
  </si>
  <si>
    <t>210.5%</t>
  </si>
  <si>
    <t>DPS-0054</t>
  </si>
  <si>
    <t>DPS-0055</t>
  </si>
  <si>
    <t>DPS-0056</t>
  </si>
  <si>
    <t>Kids Hydration</t>
  </si>
  <si>
    <t>HEROLYTE</t>
  </si>
  <si>
    <t>DPS-0057</t>
  </si>
  <si>
    <t>DPS-0058</t>
  </si>
  <si>
    <t>OUAI PET JAR - 100ml</t>
  </si>
  <si>
    <t>DPS-0059</t>
  </si>
  <si>
    <t>OUIA PP Jar 100ml</t>
  </si>
  <si>
    <t>DPS-0060</t>
  </si>
  <si>
    <t>GET W - 15ml Mini Oval Deostick</t>
  </si>
  <si>
    <t>DPS-0061</t>
  </si>
  <si>
    <t>MISTR - SACHETS</t>
  </si>
  <si>
    <t>DPS-0062</t>
  </si>
  <si>
    <t>Emi Jay x DedCool Collab</t>
  </si>
  <si>
    <t>EMI JAY</t>
  </si>
  <si>
    <t>DPS-0063</t>
  </si>
  <si>
    <t>Pattern Body - 200ml All Over Body Balm Jars/Caps</t>
  </si>
  <si>
    <t>DPS-0064</t>
  </si>
  <si>
    <t>NewULife - Replenishment</t>
  </si>
  <si>
    <t>NewULife</t>
  </si>
  <si>
    <t>DPS-0065</t>
  </si>
  <si>
    <t>DPS-0066</t>
  </si>
  <si>
    <t>DPS-0067</t>
  </si>
  <si>
    <t>10ml custom bottle - custom neck</t>
  </si>
  <si>
    <t>DPS-0068</t>
  </si>
  <si>
    <t>DPS-0069</t>
  </si>
  <si>
    <t>DPS-0070</t>
  </si>
  <si>
    <t>DPS-0107</t>
  </si>
  <si>
    <t>Nemah - 30ml Retinol Cream - Kit Size</t>
  </si>
  <si>
    <t>Nemah</t>
  </si>
  <si>
    <t>DPS-0108</t>
  </si>
  <si>
    <t>Nemah - 50ml Retinol Cream - Full Size</t>
  </si>
  <si>
    <t>DPS-0109</t>
  </si>
  <si>
    <t>Nemah - 15ml Lip &amp; Nipple Balm</t>
  </si>
  <si>
    <t>DPS-0110</t>
  </si>
  <si>
    <t>Nemah - 30ml Lip &amp; Nipple Balm</t>
  </si>
  <si>
    <t>DPS-0111</t>
  </si>
  <si>
    <t>Nemah - Minis for Target kits</t>
  </si>
  <si>
    <t>DPS-0071</t>
  </si>
  <si>
    <t>Sachet</t>
  </si>
  <si>
    <t>GOLDENHIPPO</t>
  </si>
  <si>
    <t>2026-03-17</t>
  </si>
  <si>
    <t>SO2571</t>
  </si>
  <si>
    <t>131.8%</t>
  </si>
  <si>
    <t>DPS-0072</t>
  </si>
  <si>
    <t>Nemah - 50ml Firming Body Serum - Kit Size</t>
  </si>
  <si>
    <t>DPS-0073</t>
  </si>
  <si>
    <t>Nemah - 400ml Body Wash</t>
  </si>
  <si>
    <t>DPS-0074</t>
  </si>
  <si>
    <t>Nemah - 120ml Foaming Face Wash</t>
  </si>
  <si>
    <t>DPS-0075</t>
  </si>
  <si>
    <t>Nemah - 30ml Vitamin C Serum - Full Size</t>
  </si>
  <si>
    <t>DPS-0076</t>
  </si>
  <si>
    <t>150ml Body Serum</t>
  </si>
  <si>
    <t>2026-04-20</t>
  </si>
  <si>
    <t>SO2591, SO2615</t>
  </si>
  <si>
    <t>242.3%</t>
  </si>
  <si>
    <t>2026-05-20</t>
  </si>
  <si>
    <t>DPS-0077</t>
  </si>
  <si>
    <t>400ml Body Lotion</t>
  </si>
  <si>
    <t>DPS-0078</t>
  </si>
  <si>
    <t>50ml Facial Serum</t>
  </si>
  <si>
    <t>DPS-0079</t>
  </si>
  <si>
    <t>2oz Hand Sanitizer</t>
  </si>
  <si>
    <t>DPS-0080</t>
  </si>
  <si>
    <t>Pattern Body - 3oz Body Wash-Palo Santo</t>
  </si>
  <si>
    <t>DPS-0081</t>
  </si>
  <si>
    <t>Pattern Body - 3oz Body Wash-Indigo Rain</t>
  </si>
  <si>
    <t>DPS-0082</t>
  </si>
  <si>
    <t>Pattern Body - 3oz Body Cream-Palo Santo</t>
  </si>
  <si>
    <t>DPS-0083</t>
  </si>
  <si>
    <t>Pattern Body - 3oz Body Cream-Indigo Rain</t>
  </si>
  <si>
    <t>DPS-0084</t>
  </si>
  <si>
    <t>Pattern Body - 3oz Body Scrub-Palo Santo</t>
  </si>
  <si>
    <t>DPS-0085</t>
  </si>
  <si>
    <t>Pattern Body - 3oz Body SCrub-Indigo Rain</t>
  </si>
  <si>
    <t>DPS-0086</t>
  </si>
  <si>
    <t>Pattern Body - 200ml Body Serum</t>
  </si>
  <si>
    <t>2026-02-10</t>
  </si>
  <si>
    <t>so2556</t>
  </si>
  <si>
    <t>81.9%</t>
  </si>
  <si>
    <t>2026-03-12</t>
  </si>
  <si>
    <t>DPS-0087</t>
  </si>
  <si>
    <t>Pattern Body - 200ml Post Shave Oil</t>
  </si>
  <si>
    <t>DPS-0088</t>
  </si>
  <si>
    <t>Pattern Body - 150ml Juicy Water Mist</t>
  </si>
  <si>
    <t>DPS-0089</t>
  </si>
  <si>
    <t>Power Mask</t>
  </si>
  <si>
    <t>EPICUREN</t>
  </si>
  <si>
    <t>DPS-0090</t>
  </si>
  <si>
    <t>GET W - 75ml Deostick</t>
  </si>
  <si>
    <t>DPS-0091</t>
  </si>
  <si>
    <t>SO2388</t>
  </si>
  <si>
    <t>101.2%</t>
  </si>
  <si>
    <t>DPS-0092</t>
  </si>
  <si>
    <t>50ml Hypochlorous Acid Spray</t>
  </si>
  <si>
    <t>DPS-0093</t>
  </si>
  <si>
    <t>Pattern Body - 3oz Mini Body Scrub Jars/Caps</t>
  </si>
  <si>
    <t>DPS-0094</t>
  </si>
  <si>
    <t>Pattern Body - 3oz Mini Body Cream Jars/Caps</t>
  </si>
  <si>
    <t>DPS-0095</t>
  </si>
  <si>
    <t>100ml Toothpaste</t>
  </si>
  <si>
    <t>3E</t>
  </si>
  <si>
    <t>DPS-0096</t>
  </si>
  <si>
    <t>30ml Serum</t>
  </si>
  <si>
    <t>DPS-0097</t>
  </si>
  <si>
    <t>50ml Aura Hair Mist</t>
  </si>
  <si>
    <t>DPS-0098</t>
  </si>
  <si>
    <t>15ml Aura Hair Mist</t>
  </si>
  <si>
    <t>DPS-0099</t>
  </si>
  <si>
    <t>50ml Hair &amp; Body Mist Bottle/Pump</t>
  </si>
  <si>
    <t>SO2592</t>
  </si>
  <si>
    <t>445.5%</t>
  </si>
  <si>
    <t>DPS-0100</t>
  </si>
  <si>
    <t>SO2579, SO2614</t>
  </si>
  <si>
    <t>95.3%</t>
  </si>
  <si>
    <t>DPS-0101</t>
  </si>
  <si>
    <t>Multi-Surface Cleaner</t>
  </si>
  <si>
    <t>SPRAE</t>
  </si>
  <si>
    <t>DPS-0102</t>
  </si>
  <si>
    <t>Stove Top Cleaner</t>
  </si>
  <si>
    <t>DPS-0103</t>
  </si>
  <si>
    <t>Bathroom Cleaner</t>
  </si>
  <si>
    <t>DPS-0104</t>
  </si>
  <si>
    <t>Room Spray</t>
  </si>
  <si>
    <t>DPS-0105</t>
  </si>
  <si>
    <t>100ml Body Spray</t>
  </si>
  <si>
    <t>Practical Alchemy</t>
  </si>
  <si>
    <t>DPS-0106</t>
  </si>
  <si>
    <t>15ml Deostick</t>
  </si>
  <si>
    <t>DPS-0003</t>
  </si>
  <si>
    <t>HYDRATION - 5 SKUs</t>
  </si>
  <si>
    <t>HANX</t>
  </si>
  <si>
    <t>STALE</t>
  </si>
  <si>
    <t>Medium - Pipeline Date Only</t>
  </si>
  <si>
    <t>DPS-0008</t>
  </si>
  <si>
    <t>DPS-0021</t>
  </si>
  <si>
    <t>Fine Labs - Gen Z Fragrance - 6 SKUs</t>
  </si>
  <si>
    <t>Fine Fragrance</t>
  </si>
  <si>
    <t>DPS-0112</t>
  </si>
  <si>
    <t>Missing Pipeline $</t>
  </si>
  <si>
    <t>Needs SO Link</t>
  </si>
  <si>
    <t>SO Number</t>
  </si>
  <si>
    <t>SO Status Text</t>
  </si>
  <si>
    <t>Source SO Amount</t>
  </si>
  <si>
    <t>Allocation %</t>
  </si>
  <si>
    <t>Allocated SO Amount</t>
  </si>
  <si>
    <t>Legacy Aggregate Approved SO Amount</t>
  </si>
  <si>
    <t>Allocation Review Required</t>
  </si>
  <si>
    <t>SO2599</t>
  </si>
  <si>
    <t>Legacy listed</t>
  </si>
  <si>
    <t>Multiple SOs listed; requires SO source amount/allocation before liquidity feed.</t>
  </si>
  <si>
    <t>SO2597</t>
  </si>
  <si>
    <t>SO2598</t>
  </si>
  <si>
    <t>SO2608</t>
  </si>
  <si>
    <t>SO2609</t>
  </si>
  <si>
    <t>SO2610</t>
  </si>
  <si>
    <t>SO2611</t>
  </si>
  <si>
    <t>SO2612</t>
  </si>
  <si>
    <t>SO2613</t>
  </si>
  <si>
    <t>SO2601</t>
  </si>
  <si>
    <t>SO2602</t>
  </si>
  <si>
    <t>SO2563</t>
  </si>
  <si>
    <t>Invoiced/Open per legacy note</t>
  </si>
  <si>
    <t>SO2564</t>
  </si>
  <si>
    <t>SO2562</t>
  </si>
  <si>
    <t>SO2561</t>
  </si>
  <si>
    <t>SO2531</t>
  </si>
  <si>
    <t>SO2532</t>
  </si>
  <si>
    <t>SO2547</t>
  </si>
  <si>
    <t>SO2548</t>
  </si>
  <si>
    <t>SO2549</t>
  </si>
  <si>
    <t>SO2545</t>
  </si>
  <si>
    <t>SO2546</t>
  </si>
  <si>
    <t>SO2550</t>
  </si>
  <si>
    <t>SO2551</t>
  </si>
  <si>
    <t>N</t>
  </si>
  <si>
    <t>Single SO legacy amount used; verify against SO source.</t>
  </si>
  <si>
    <t>SO2528</t>
  </si>
  <si>
    <t>SO2492</t>
  </si>
  <si>
    <t>SO2508</t>
  </si>
  <si>
    <t>SO2527</t>
  </si>
  <si>
    <t>SO2578</t>
  </si>
  <si>
    <t>SO2580</t>
  </si>
  <si>
    <t>SO2581</t>
  </si>
  <si>
    <t>SO2582</t>
  </si>
  <si>
    <t>SO2525</t>
  </si>
  <si>
    <t>SO2511</t>
  </si>
  <si>
    <t>SO2509</t>
  </si>
  <si>
    <t>SO2566</t>
  </si>
  <si>
    <t>SO2603</t>
  </si>
  <si>
    <t>SO2591</t>
  </si>
  <si>
    <t>SO2615</t>
  </si>
  <si>
    <t>SO2556</t>
  </si>
  <si>
    <t>SO2579</t>
  </si>
  <si>
    <t>SO2614</t>
  </si>
  <si>
    <t>SO Date</t>
  </si>
  <si>
    <t>SO Amount</t>
  </si>
  <si>
    <t>Invoiced Amount</t>
  </si>
  <si>
    <t>Open Amount</t>
  </si>
  <si>
    <t>Status</t>
  </si>
  <si>
    <t>Linked Deal ID</t>
  </si>
  <si>
    <t>Source File/Export Date</t>
  </si>
  <si>
    <t>Populate from NetSuite SO export</t>
  </si>
  <si>
    <t>Week Start</t>
  </si>
  <si>
    <t>Week End</t>
  </si>
  <si>
    <t>Eligible Pipeline Cash</t>
  </si>
  <si>
    <t>Scenario Only Pipeline</t>
  </si>
  <si>
    <t>Mapped SO Cash</t>
  </si>
  <si>
    <t>Preview only; liquidity workbook tie-out required.</t>
  </si>
  <si>
    <t>Check</t>
  </si>
  <si>
    <t>Value</t>
  </si>
  <si>
    <t>Pass Condition</t>
  </si>
  <si>
    <t>Severity</t>
  </si>
  <si>
    <t>Owner Notes</t>
  </si>
  <si>
    <t>Total Deals</t>
  </si>
  <si>
    <t>Info</t>
  </si>
  <si>
    <t>Deals Missing Expected Close Date</t>
  </si>
  <si>
    <t>Must be reviewed before cash feed</t>
  </si>
  <si>
    <t>High</t>
  </si>
  <si>
    <t>No-date deals should remain Scenario Only / Not Eligible.</t>
  </si>
  <si>
    <t>Liquidity Eligible Deals</t>
  </si>
  <si>
    <t>Only defensible rows should feed liquidity</t>
  </si>
  <si>
    <t>Must be 0 before SO-based liquidity feed</t>
  </si>
  <si>
    <t>Critical</t>
  </si>
  <si>
    <t>Many-to-many SO matching must be resolved.</t>
  </si>
  <si>
    <t>Mapping Rows Needing Allocation</t>
  </si>
  <si>
    <t>Must be 0 before liquidity tie-in</t>
  </si>
  <si>
    <t>Populate SO_Source and allocation %.</t>
  </si>
  <si>
    <t>Included But Not Cash Eligible</t>
  </si>
  <si>
    <t>Expected during review</t>
  </si>
  <si>
    <t>Warning</t>
  </si>
  <si>
    <t>These stay in dashboard, not cash forecast.</t>
  </si>
  <si>
    <t>Duplicate Deal IDs</t>
  </si>
  <si>
    <t>Should be 0</t>
  </si>
  <si>
    <t>Include Flag</t>
  </si>
  <si>
    <t>Mapping Review</t>
  </si>
  <si>
    <t>Active</t>
  </si>
  <si>
    <t>Eligible</t>
  </si>
  <si>
    <t>Watchlist</t>
  </si>
  <si>
    <t>Scenario Only - No Close Date</t>
  </si>
  <si>
    <t>Medium - Manual Timing</t>
  </si>
  <si>
    <t>Converted/Partially Converted</t>
  </si>
  <si>
    <t>Scenario Only - No Ship Date</t>
  </si>
  <si>
    <t>Low - No Timing</t>
  </si>
  <si>
    <t>Dormant</t>
  </si>
  <si>
    <t>Excluded</t>
  </si>
  <si>
    <t>Scenario Only - No Cash Date</t>
  </si>
  <si>
    <t>Dead</t>
  </si>
  <si>
    <t>Not Eligible - SO Mapping Review</t>
  </si>
  <si>
    <t>Not Eligible - Excluded</t>
  </si>
  <si>
    <t>Not Eligible - Lost</t>
  </si>
  <si>
    <t>DPS Pipeline → Streamlit Readiness Dashboard</t>
  </si>
  <si>
    <t>Metric</t>
  </si>
  <si>
    <t>Interpretation</t>
  </si>
  <si>
    <t>Action</t>
  </si>
  <si>
    <t>Pipeline rows loaded</t>
  </si>
  <si>
    <t>Missing Close Date</t>
  </si>
  <si>
    <t>Visibility only; not cash-ready</t>
  </si>
  <si>
    <t>Review timing or leave as Scenario Only</t>
  </si>
  <si>
    <t>Rows allowed to feed cash preview</t>
  </si>
  <si>
    <t>Must be conservative</t>
  </si>
  <si>
    <t>Blocks liquidity tie-in</t>
  </si>
  <si>
    <t>Resolve with SO_Source + SO_Mapping</t>
  </si>
  <si>
    <t>Many-to-many SO issue</t>
  </si>
  <si>
    <t>Populate actual SO amounts/allocation %</t>
  </si>
  <si>
    <t>Good warning bucket</t>
  </si>
  <si>
    <t>Do not feed into liquidity</t>
  </si>
  <si>
    <t>Architecture</t>
  </si>
  <si>
    <t>Pipeline_Control + SO_Source + SO_Mapping → Cash_Eligibility → Cash_Bridge</t>
  </si>
  <si>
    <t>Hard Rule</t>
  </si>
  <si>
    <t>No expected close/cash date and no resolved SO mapping = no liquidity feed.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</si>
</sst>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1F2A"/>
      </patternFill>
    </fill>
    <fill>
      <patternFill patternType="solid">
        <fgColor rgb="FFEAEF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pelineControlTable" displayName="PipelineControlTable" ref="A1:AQ111">
  <tableColumns count="43">
    <tableColumn id="1" xr3:uid="{00000000-0010-0000-0000-000001000000}" name="Pipeline Row"/>
    <tableColumn id="2" xr3:uid="{00000000-0010-0000-0000-000002000000}" name="Deal ID"/>
    <tableColumn id="3" xr3:uid="{00000000-0010-0000-0000-000003000000}" name="Product / Project"/>
    <tableColumn id="4" xr3:uid="{00000000-0010-0000-0000-000004000000}" name="Customer"/>
    <tableColumn id="5" xr3:uid="{00000000-0010-0000-0000-000005000000}" name="Category"/>
    <tableColumn id="6" xr3:uid="{00000000-0010-0000-0000-000006000000}" name="Quarter"/>
    <tableColumn id="7" xr3:uid="{00000000-0010-0000-0000-000007000000}" name="Sales Rep"/>
    <tableColumn id="8" xr3:uid="{00000000-0010-0000-0000-000008000000}" name="Deal Status"/>
    <tableColumn id="9" xr3:uid="{00000000-0010-0000-0000-000009000000}" name="Include in Forecast"/>
    <tableColumn id="10" xr3:uid="{00000000-0010-0000-0000-00000A000000}" name="Expected Close Date"/>
    <tableColumn id="11" xr3:uid="{00000000-0010-0000-0000-00000B000000}" name="Pipeline Amount"/>
    <tableColumn id="12" xr3:uid="{00000000-0010-0000-0000-00000C000000}" name="Probability"/>
    <tableColumn id="13" xr3:uid="{00000000-0010-0000-0000-00000D000000}" name="Weighted Forecast"/>
    <tableColumn id="14" xr3:uid="{00000000-0010-0000-0000-00000E000000}" name="Approved SO Number(s)"/>
    <tableColumn id="15" xr3:uid="{00000000-0010-0000-0000-00000F000000}" name="Approved SO Amount"/>
    <tableColumn id="16" xr3:uid="{00000000-0010-0000-0000-000010000000}" name="SO Approved Date"/>
    <tableColumn id="17" xr3:uid="{00000000-0010-0000-0000-000011000000}" name="Remaining Pipeline After SO"/>
    <tableColumn id="18" xr3:uid="{00000000-0010-0000-0000-000012000000}" name="SO Conversion %"/>
    <tableColumn id="19" xr3:uid="{00000000-0010-0000-0000-000013000000}" name="Forecast Status"/>
    <tableColumn id="20" xr3:uid="{00000000-0010-0000-0000-000014000000}" name="Stale Deal Flag"/>
    <tableColumn id="21" xr3:uid="{00000000-0010-0000-0000-000015000000}" name="Notes"/>
    <tableColumn id="22" xr3:uid="{00000000-0010-0000-0000-000016000000}" name="Dashboard Notes"/>
    <tableColumn id="23" xr3:uid="{00000000-0010-0000-0000-000017000000}" name="Data Quality Check"/>
    <tableColumn id="24" xr3:uid="{00000000-0010-0000-0000-000018000000}" name="Expected Ship/Invoice Date"/>
    <tableColumn id="25" xr3:uid="{00000000-0010-0000-0000-000019000000}" name="Expected Cash Date"/>
    <tableColumn id="26" xr3:uid="{00000000-0010-0000-0000-00001A000000}" name="Deposit %"/>
    <tableColumn id="27" xr3:uid="{00000000-0010-0000-0000-00001B000000}" name="Deposit Cash Date"/>
    <tableColumn id="28" xr3:uid="{00000000-0010-0000-0000-00001C000000}" name="Balance Cash Date"/>
    <tableColumn id="29" xr3:uid="{00000000-0010-0000-0000-00001D000000}" name="SO Match Status"/>
    <tableColumn id="30" xr3:uid="{00000000-0010-0000-0000-00001E000000}" name="Converted Amount"/>
    <tableColumn id="31" xr3:uid="{00000000-0010-0000-0000-00001F000000}" name="Remaining Forecast Amount"/>
    <tableColumn id="32" xr3:uid="{00000000-0010-0000-0000-000020000000}" name="Timing Confidence"/>
    <tableColumn id="33" xr3:uid="{00000000-0010-0000-0000-000021000000}" name="Last Reviewed Date"/>
    <tableColumn id="34" xr3:uid="{00000000-0010-0000-0000-000022000000}" name="Manual Override Reason"/>
    <tableColumn id="35" xr3:uid="{00000000-0010-0000-0000-000023000000}" name="Pipeline Visibility"/>
    <tableColumn id="36" xr3:uid="{00000000-0010-0000-0000-000024000000}" name="Cash Forecast Eligibility"/>
    <tableColumn id="37" xr3:uid="{00000000-0010-0000-0000-000025000000}" name="Liquidity Feed Eligible"/>
    <tableColumn id="38" xr3:uid="{00000000-0010-0000-0000-000026000000}" name="Mapped SO Amount"/>
    <tableColumn id="39" xr3:uid="{00000000-0010-0000-0000-000027000000}" name="SO Mapping Review Required"/>
    <tableColumn id="40" xr3:uid="{00000000-0010-0000-0000-000028000000}" name="Remaining Pipeline - Mapping Safe"/>
    <tableColumn id="41" xr3:uid="{00000000-0010-0000-0000-000029000000}" name="Eligibility Reason"/>
    <tableColumn id="42" xr3:uid="{00000000-0010-0000-0000-00002A000000}" name="Cash Timing Bucket"/>
    <tableColumn id="43" xr3:uid="{00000000-0010-0000-0000-00002B000000}" name="App Control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MappingTable" displayName="SOMappingTable" ref="A1:I57">
  <tableColumns count="9">
    <tableColumn id="1" xr3:uid="{00000000-0010-0000-0100-000001000000}" name="Deal ID"/>
    <tableColumn id="2" xr3:uid="{00000000-0010-0000-0100-000002000000}" name="SO Number"/>
    <tableColumn id="3" xr3:uid="{00000000-0010-0000-0100-000003000000}" name="SO Status Text"/>
    <tableColumn id="4" xr3:uid="{00000000-0010-0000-0100-000004000000}" name="Source SO Amount"/>
    <tableColumn id="5" xr3:uid="{00000000-0010-0000-0100-000005000000}" name="Allocation %"/>
    <tableColumn id="6" xr3:uid="{00000000-0010-0000-0100-000006000000}" name="Allocated SO Amount"/>
    <tableColumn id="7" xr3:uid="{00000000-0010-0000-0100-000007000000}" name="Legacy Aggregate Approved SO Amount"/>
    <tableColumn id="8" xr3:uid="{00000000-0010-0000-0100-000008000000}" name="Allocation Review Required"/>
    <tableColumn id="9" xr3:uid="{00000000-0010-0000-0100-000009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SourceTable" displayName="SOSourceTable" ref="A1:K56">
  <tableColumns count="11">
    <tableColumn id="1" xr3:uid="{00000000-0010-0000-0200-000001000000}" name="SO Number"/>
    <tableColumn id="2" xr3:uid="{00000000-0010-0000-0200-000002000000}" name="Customer"/>
    <tableColumn id="3" xr3:uid="{00000000-0010-0000-0200-000003000000}" name="SO Date"/>
    <tableColumn id="4" xr3:uid="{00000000-0010-0000-0200-000004000000}" name="Expected Ship/Invoice Date"/>
    <tableColumn id="5" xr3:uid="{00000000-0010-0000-0200-000005000000}" name="SO Amount"/>
    <tableColumn id="6" xr3:uid="{00000000-0010-0000-0200-000006000000}" name="Invoiced Amount"/>
    <tableColumn id="7" xr3:uid="{00000000-0010-0000-0200-000007000000}" name="Open Amount"/>
    <tableColumn id="8" xr3:uid="{00000000-0010-0000-0200-000008000000}" name="Status"/>
    <tableColumn id="9" xr3:uid="{00000000-0010-0000-0200-000009000000}" name="Linked Deal ID"/>
    <tableColumn id="10" xr3:uid="{00000000-0010-0000-0200-00000A000000}" name="Source File/Export Date"/>
    <tableColumn id="11" xr3:uid="{00000000-0010-0000-0200-00000B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shEligibilityTable" displayName="CashEligibilityTable" ref="A1:N111">
  <tableColumns count="14">
    <tableColumn id="1" xr3:uid="{00000000-0010-0000-0300-000001000000}" name="Deal ID"/>
    <tableColumn id="2" xr3:uid="{00000000-0010-0000-0300-000002000000}" name="Customer"/>
    <tableColumn id="3" xr3:uid="{00000000-0010-0000-0300-000003000000}" name="Sales Rep"/>
    <tableColumn id="4" xr3:uid="{00000000-0010-0000-0300-000004000000}" name="Pipeline Amount"/>
    <tableColumn id="5" xr3:uid="{00000000-0010-0000-0300-000005000000}" name="Expected Close Date"/>
    <tableColumn id="6" xr3:uid="{00000000-0010-0000-0300-000006000000}" name="Expected Ship/Invoice Date"/>
    <tableColumn id="7" xr3:uid="{00000000-0010-0000-0300-000007000000}" name="Expected Cash Date"/>
    <tableColumn id="8" xr3:uid="{00000000-0010-0000-0300-000008000000}" name="Pipeline Visibility"/>
    <tableColumn id="9" xr3:uid="{00000000-0010-0000-0300-000009000000}" name="Cash Forecast Eligibility"/>
    <tableColumn id="10" xr3:uid="{00000000-0010-0000-0300-00000A000000}" name="Liquidity Feed Eligible"/>
    <tableColumn id="11" xr3:uid="{00000000-0010-0000-0300-00000B000000}" name="Mapped SO Amount"/>
    <tableColumn id="12" xr3:uid="{00000000-0010-0000-0300-00000C000000}" name="SO Mapping Review Required"/>
    <tableColumn id="13" xr3:uid="{00000000-0010-0000-0300-00000D000000}" name="Remaining Pipeline - Mapping Safe"/>
    <tableColumn id="14" xr3:uid="{00000000-0010-0000-0300-00000E000000}" name="Eligibility Rea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shBridgeTable" displayName="CashBridgeTable" ref="A1:F27">
  <tableColumns count="6">
    <tableColumn id="1" xr3:uid="{00000000-0010-0000-0400-000001000000}" name="Week Start"/>
    <tableColumn id="2" xr3:uid="{00000000-0010-0000-0400-000002000000}" name="Week End"/>
    <tableColumn id="3" xr3:uid="{00000000-0010-0000-0400-000003000000}" name="Eligible Pipeline Cash"/>
    <tableColumn id="4" xr3:uid="{00000000-0010-0000-0400-000004000000}" name="Scenario Only Pipeline"/>
    <tableColumn id="5" xr3:uid="{00000000-0010-0000-0400-000005000000}" name="Mapped SO Cash"/>
    <tableColumn id="6" xr3:uid="{00000000-0010-0000-04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1"/>
  <sheetViews>
    <sheetView tabSelected="1" topLeftCell="AG1" workbookViewId="0"/>
  </sheetViews>
  <sheetFormatPr defaultRowHeight="14"/>
  <cols>
    <col min="1" max="1" width="10" customWidth="1"/>
    <col min="2" max="2" width="12" customWidth="1"/>
    <col min="3" max="3" width="26" customWidth="1"/>
    <col min="4" max="4" width="18" customWidth="1"/>
    <col min="7" max="8" width="16" customWidth="1"/>
    <col min="9" max="9" width="14" customWidth="1"/>
    <col min="10" max="11" width="15" customWidth="1"/>
    <col min="14" max="14" width="28" customWidth="1"/>
    <col min="21" max="21" width="28" customWidth="1"/>
    <col min="23" max="23" width="22" customWidth="1"/>
    <col min="35" max="35" width="22" customWidth="1"/>
    <col min="36" max="36" width="30" customWidth="1"/>
    <col min="37" max="37" width="14" customWidth="1"/>
    <col min="38" max="38" width="16" customWidth="1"/>
    <col min="39" max="40" width="18" customWidth="1"/>
    <col min="41" max="41" width="32" customWidth="1"/>
    <col min="43" max="43" width="28" customWidth="1"/>
  </cols>
  <sheetData>
    <row r="1" spans="1:43" ht="5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 ht="42">
      <c r="A2" s="1">
        <v>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4" t="s">
        <v>51</v>
      </c>
      <c r="K2" s="5">
        <v>3000000</v>
      </c>
      <c r="L2" s="6">
        <v>1</v>
      </c>
      <c r="M2" s="5">
        <v>3000000</v>
      </c>
      <c r="N2" s="1" t="s">
        <v>52</v>
      </c>
      <c r="O2" s="5">
        <v>2672706</v>
      </c>
      <c r="P2" s="5" t="s">
        <v>51</v>
      </c>
      <c r="Q2" s="5">
        <v>327294</v>
      </c>
      <c r="R2" s="1" t="s">
        <v>53</v>
      </c>
      <c r="S2" s="1" t="s">
        <v>54</v>
      </c>
      <c r="T2" s="1"/>
      <c r="U2" s="1" t="s">
        <v>55</v>
      </c>
      <c r="V2" s="1"/>
      <c r="W2" s="1" t="s">
        <v>56</v>
      </c>
      <c r="X2" s="4" t="s">
        <v>51</v>
      </c>
      <c r="Y2" s="4" t="s">
        <v>57</v>
      </c>
      <c r="Z2" s="6">
        <v>0</v>
      </c>
      <c r="AA2" s="4"/>
      <c r="AB2" s="4" t="s">
        <v>57</v>
      </c>
      <c r="AC2" s="1" t="s">
        <v>58</v>
      </c>
      <c r="AD2" s="1">
        <v>2672706</v>
      </c>
      <c r="AE2" s="1">
        <v>327294</v>
      </c>
      <c r="AF2" s="4" t="s">
        <v>59</v>
      </c>
      <c r="AG2" s="1" t="s">
        <v>60</v>
      </c>
      <c r="AH2" s="1"/>
      <c r="AI2" s="1" t="str">
        <f t="shared" ref="AI2:AI33" si="0">IF(OR($H2="Lost",$H2="Dead"),"Lost",IF($I2&lt;&gt;"Y","Excluded",IF($N2&lt;&gt;"","Converted/Partially Converted",IF($J2="","Watchlist","Active"))))</f>
        <v>Converted/Partially Converted</v>
      </c>
      <c r="AJ2" s="1" t="str">
        <f t="shared" ref="AJ2:AJ33" si="1">IF($I2&lt;&gt;"Y","Not Eligible - Excluded",IF(OR($H2="Lost",$H2="Dead"),"Not Eligible - Lost",IF($J2="","Scenario Only - No Close Date",IF($X2="","Scenario Only - No Ship Date",IF($Y2="","Scenario Only - No Cash Date",IF($AM2="Y","Not Eligible - SO Mapping Review","Eligible"))))))</f>
        <v>Not Eligible - SO Mapping Review</v>
      </c>
      <c r="AK2" s="1" t="str">
        <f t="shared" ref="AK2:AK33" si="2">IF($AJ2="Eligible","Y","N")</f>
        <v>N</v>
      </c>
      <c r="AL2" s="5">
        <f>SUMIFS(SO_Mapping!$F:$F,SO_Mapping!$A:$A,$B2)</f>
        <v>0</v>
      </c>
      <c r="AM2" s="5" t="str">
        <f t="shared" ref="AM2:AM33" si="3">IF(AND($N2&lt;&gt;"",$AL2=0),"Y",IF(ABS($O2-$AL2)&gt;1,"Y","N"))</f>
        <v>Y</v>
      </c>
      <c r="AN2" s="5">
        <f t="shared" ref="AN2:AN33" si="4">MAX(0,$K2-$AL2)</f>
        <v>3000000</v>
      </c>
      <c r="AO2" s="1" t="str">
        <f t="shared" ref="AO2:AO33" si="5">IF($AK2="Y","Cash eligible",IF($I2&lt;&gt;"Y","Excluded by control flag",IF($J2="","No expected close date",IF($X2="","No ship/invoice timing",IF($Y2="","No cash timing",IF($AM2="Y","SO mapping must be resolved","Review required"))))))</f>
        <v>SO mapping must be resolved</v>
      </c>
      <c r="AP2" s="1" t="str">
        <f t="shared" ref="AP2:AP33" si="6">IF($AK2="Y",TEXT($Y2,"yyyy-mm-dd"),"")</f>
        <v/>
      </c>
      <c r="AQ2" s="1"/>
    </row>
    <row r="3" spans="1:43" ht="42">
      <c r="A3" s="1">
        <v>4</v>
      </c>
      <c r="B3" s="1" t="s">
        <v>61</v>
      </c>
      <c r="C3" s="1" t="s">
        <v>62</v>
      </c>
      <c r="D3" s="1" t="s">
        <v>45</v>
      </c>
      <c r="E3" s="1" t="s">
        <v>46</v>
      </c>
      <c r="F3" s="1" t="s">
        <v>63</v>
      </c>
      <c r="G3" s="1" t="s">
        <v>48</v>
      </c>
      <c r="H3" s="1" t="s">
        <v>49</v>
      </c>
      <c r="I3" s="1" t="s">
        <v>50</v>
      </c>
      <c r="J3" s="4" t="s">
        <v>64</v>
      </c>
      <c r="K3" s="5">
        <v>1560000</v>
      </c>
      <c r="L3" s="6">
        <v>0.75</v>
      </c>
      <c r="M3" s="5">
        <v>1170000</v>
      </c>
      <c r="N3" s="1" t="s">
        <v>65</v>
      </c>
      <c r="O3" s="5">
        <v>290080</v>
      </c>
      <c r="P3" s="5" t="s">
        <v>64</v>
      </c>
      <c r="Q3" s="5">
        <v>1269920</v>
      </c>
      <c r="R3" s="1" t="s">
        <v>66</v>
      </c>
      <c r="S3" s="1" t="s">
        <v>54</v>
      </c>
      <c r="T3" s="1"/>
      <c r="U3" s="1" t="s">
        <v>55</v>
      </c>
      <c r="V3" s="1"/>
      <c r="W3" s="1" t="s">
        <v>56</v>
      </c>
      <c r="X3" s="4" t="s">
        <v>64</v>
      </c>
      <c r="Y3" s="4" t="s">
        <v>67</v>
      </c>
      <c r="Z3" s="6">
        <v>0</v>
      </c>
      <c r="AA3" s="4"/>
      <c r="AB3" s="4" t="s">
        <v>67</v>
      </c>
      <c r="AC3" s="1" t="s">
        <v>58</v>
      </c>
      <c r="AD3" s="1">
        <v>290080</v>
      </c>
      <c r="AE3" s="1">
        <v>1269920</v>
      </c>
      <c r="AF3" s="4" t="s">
        <v>59</v>
      </c>
      <c r="AG3" s="1" t="s">
        <v>60</v>
      </c>
      <c r="AH3" s="1"/>
      <c r="AI3" s="1" t="str">
        <f t="shared" si="0"/>
        <v>Converted/Partially Converted</v>
      </c>
      <c r="AJ3" s="1" t="str">
        <f t="shared" si="1"/>
        <v>Not Eligible - SO Mapping Review</v>
      </c>
      <c r="AK3" s="1" t="str">
        <f t="shared" si="2"/>
        <v>N</v>
      </c>
      <c r="AL3" s="5">
        <f>SUMIFS(SO_Mapping!$F:$F,SO_Mapping!$A:$A,$B3)</f>
        <v>0</v>
      </c>
      <c r="AM3" s="5" t="str">
        <f t="shared" si="3"/>
        <v>Y</v>
      </c>
      <c r="AN3" s="5">
        <f t="shared" si="4"/>
        <v>1560000</v>
      </c>
      <c r="AO3" s="1" t="str">
        <f t="shared" si="5"/>
        <v>SO mapping must be resolved</v>
      </c>
      <c r="AP3" s="1" t="str">
        <f t="shared" si="6"/>
        <v/>
      </c>
      <c r="AQ3" s="1"/>
    </row>
    <row r="4" spans="1:43" ht="42">
      <c r="A4" s="1">
        <v>5</v>
      </c>
      <c r="B4" s="1" t="s">
        <v>68</v>
      </c>
      <c r="C4" s="1" t="s">
        <v>44</v>
      </c>
      <c r="D4" s="1" t="s">
        <v>45</v>
      </c>
      <c r="E4" s="1" t="s">
        <v>46</v>
      </c>
      <c r="F4" s="1" t="s">
        <v>69</v>
      </c>
      <c r="G4" s="1" t="s">
        <v>48</v>
      </c>
      <c r="H4" s="1" t="s">
        <v>49</v>
      </c>
      <c r="I4" s="1" t="s">
        <v>50</v>
      </c>
      <c r="J4" s="4" t="s">
        <v>70</v>
      </c>
      <c r="K4" s="5">
        <v>1500000</v>
      </c>
      <c r="L4" s="6">
        <v>0.75</v>
      </c>
      <c r="M4" s="5">
        <v>1125000</v>
      </c>
      <c r="N4" s="1" t="s">
        <v>71</v>
      </c>
      <c r="O4" s="5">
        <v>1114750</v>
      </c>
      <c r="P4" s="5" t="s">
        <v>70</v>
      </c>
      <c r="Q4" s="5">
        <v>385250</v>
      </c>
      <c r="R4" s="1" t="s">
        <v>72</v>
      </c>
      <c r="S4" s="1" t="s">
        <v>54</v>
      </c>
      <c r="T4" s="1"/>
      <c r="U4" s="1" t="s">
        <v>73</v>
      </c>
      <c r="V4" s="1"/>
      <c r="W4" s="1" t="s">
        <v>56</v>
      </c>
      <c r="X4" s="4" t="s">
        <v>70</v>
      </c>
      <c r="Y4" s="4" t="s">
        <v>74</v>
      </c>
      <c r="Z4" s="6">
        <v>0</v>
      </c>
      <c r="AA4" s="4"/>
      <c r="AB4" s="4" t="s">
        <v>74</v>
      </c>
      <c r="AC4" s="1" t="s">
        <v>58</v>
      </c>
      <c r="AD4" s="1">
        <v>1114750</v>
      </c>
      <c r="AE4" s="1">
        <v>385250</v>
      </c>
      <c r="AF4" s="4" t="s">
        <v>59</v>
      </c>
      <c r="AG4" s="1" t="s">
        <v>60</v>
      </c>
      <c r="AH4" s="1"/>
      <c r="AI4" s="1" t="str">
        <f t="shared" si="0"/>
        <v>Converted/Partially Converted</v>
      </c>
      <c r="AJ4" s="1" t="str">
        <f t="shared" si="1"/>
        <v>Not Eligible - SO Mapping Review</v>
      </c>
      <c r="AK4" s="1" t="str">
        <f t="shared" si="2"/>
        <v>N</v>
      </c>
      <c r="AL4" s="5">
        <f>SUMIFS(SO_Mapping!$F:$F,SO_Mapping!$A:$A,$B4)</f>
        <v>0</v>
      </c>
      <c r="AM4" s="5" t="str">
        <f t="shared" si="3"/>
        <v>Y</v>
      </c>
      <c r="AN4" s="5">
        <f t="shared" si="4"/>
        <v>1500000</v>
      </c>
      <c r="AO4" s="1" t="str">
        <f t="shared" si="5"/>
        <v>SO mapping must be resolved</v>
      </c>
      <c r="AP4" s="1" t="str">
        <f t="shared" si="6"/>
        <v/>
      </c>
      <c r="AQ4" s="1"/>
    </row>
    <row r="5" spans="1:43" ht="42">
      <c r="A5" s="1">
        <v>6</v>
      </c>
      <c r="B5" s="1" t="s">
        <v>75</v>
      </c>
      <c r="C5" s="1" t="s">
        <v>62</v>
      </c>
      <c r="D5" s="1" t="s">
        <v>45</v>
      </c>
      <c r="E5" s="1" t="s">
        <v>46</v>
      </c>
      <c r="F5" s="1" t="s">
        <v>69</v>
      </c>
      <c r="G5" s="1" t="s">
        <v>48</v>
      </c>
      <c r="H5" s="1" t="s">
        <v>49</v>
      </c>
      <c r="I5" s="1" t="s">
        <v>50</v>
      </c>
      <c r="J5" s="4" t="s">
        <v>76</v>
      </c>
      <c r="K5" s="5">
        <v>1150000</v>
      </c>
      <c r="L5" s="6">
        <v>0.75</v>
      </c>
      <c r="M5" s="5">
        <v>862500</v>
      </c>
      <c r="N5" s="1" t="s">
        <v>77</v>
      </c>
      <c r="O5" s="5">
        <v>259000</v>
      </c>
      <c r="P5" s="5" t="s">
        <v>76</v>
      </c>
      <c r="Q5" s="5">
        <v>891000</v>
      </c>
      <c r="R5" s="1" t="s">
        <v>78</v>
      </c>
      <c r="S5" s="1" t="s">
        <v>54</v>
      </c>
      <c r="T5" s="1"/>
      <c r="U5" s="1" t="s">
        <v>55</v>
      </c>
      <c r="V5" s="1"/>
      <c r="W5" s="1" t="s">
        <v>56</v>
      </c>
      <c r="X5" s="4" t="s">
        <v>76</v>
      </c>
      <c r="Y5" s="4" t="s">
        <v>79</v>
      </c>
      <c r="Z5" s="6">
        <v>0</v>
      </c>
      <c r="AA5" s="4"/>
      <c r="AB5" s="4" t="s">
        <v>79</v>
      </c>
      <c r="AC5" s="1" t="s">
        <v>58</v>
      </c>
      <c r="AD5" s="1">
        <v>259000</v>
      </c>
      <c r="AE5" s="1">
        <v>891000</v>
      </c>
      <c r="AF5" s="4" t="s">
        <v>59</v>
      </c>
      <c r="AG5" s="1" t="s">
        <v>60</v>
      </c>
      <c r="AH5" s="1"/>
      <c r="AI5" s="1" t="str">
        <f t="shared" si="0"/>
        <v>Converted/Partially Converted</v>
      </c>
      <c r="AJ5" s="1" t="str">
        <f t="shared" si="1"/>
        <v>Not Eligible - SO Mapping Review</v>
      </c>
      <c r="AK5" s="1" t="str">
        <f t="shared" si="2"/>
        <v>N</v>
      </c>
      <c r="AL5" s="5">
        <f>SUMIFS(SO_Mapping!$F:$F,SO_Mapping!$A:$A,$B5)</f>
        <v>0</v>
      </c>
      <c r="AM5" s="5" t="str">
        <f t="shared" si="3"/>
        <v>Y</v>
      </c>
      <c r="AN5" s="5">
        <f t="shared" si="4"/>
        <v>1150000</v>
      </c>
      <c r="AO5" s="1" t="str">
        <f t="shared" si="5"/>
        <v>SO mapping must be resolved</v>
      </c>
      <c r="AP5" s="1" t="str">
        <f t="shared" si="6"/>
        <v/>
      </c>
      <c r="AQ5" s="1"/>
    </row>
    <row r="6" spans="1:43" ht="42">
      <c r="A6" s="1">
        <v>7</v>
      </c>
      <c r="B6" s="1" t="s">
        <v>80</v>
      </c>
      <c r="C6" s="1" t="s">
        <v>62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81</v>
      </c>
      <c r="I6" s="1" t="s">
        <v>50</v>
      </c>
      <c r="J6" s="4"/>
      <c r="K6" s="5">
        <v>1100000</v>
      </c>
      <c r="L6" s="6">
        <v>0.75</v>
      </c>
      <c r="M6" s="5">
        <v>825000</v>
      </c>
      <c r="N6" s="1"/>
      <c r="O6" s="5"/>
      <c r="P6" s="5"/>
      <c r="Q6" s="5">
        <v>1100000</v>
      </c>
      <c r="R6" s="1" t="s">
        <v>82</v>
      </c>
      <c r="S6" s="1" t="s">
        <v>81</v>
      </c>
      <c r="T6" s="1"/>
      <c r="U6" s="1"/>
      <c r="V6" s="1"/>
      <c r="W6" s="1" t="s">
        <v>56</v>
      </c>
      <c r="X6" s="4"/>
      <c r="Y6" s="4"/>
      <c r="Z6" s="6">
        <v>0</v>
      </c>
      <c r="AA6" s="4"/>
      <c r="AB6" s="4"/>
      <c r="AC6" s="1" t="s">
        <v>83</v>
      </c>
      <c r="AD6" s="1">
        <v>0</v>
      </c>
      <c r="AE6" s="1">
        <v>1100000</v>
      </c>
      <c r="AF6" s="4" t="s">
        <v>84</v>
      </c>
      <c r="AG6" s="1" t="s">
        <v>60</v>
      </c>
      <c r="AH6" s="1"/>
      <c r="AI6" s="1" t="str">
        <f t="shared" si="0"/>
        <v>Watchlist</v>
      </c>
      <c r="AJ6" s="1" t="str">
        <f t="shared" si="1"/>
        <v>Scenario Only - No Close Date</v>
      </c>
      <c r="AK6" s="1" t="str">
        <f t="shared" si="2"/>
        <v>N</v>
      </c>
      <c r="AL6" s="5">
        <f>SUMIFS(SO_Mapping!$F:$F,SO_Mapping!$A:$A,$B6)</f>
        <v>0</v>
      </c>
      <c r="AM6" s="5" t="str">
        <f t="shared" si="3"/>
        <v>N</v>
      </c>
      <c r="AN6" s="5">
        <f t="shared" si="4"/>
        <v>1100000</v>
      </c>
      <c r="AO6" s="1" t="str">
        <f t="shared" si="5"/>
        <v>No expected close date</v>
      </c>
      <c r="AP6" s="1" t="str">
        <f t="shared" si="6"/>
        <v/>
      </c>
      <c r="AQ6" s="1"/>
    </row>
    <row r="7" spans="1:43" ht="42">
      <c r="A7" s="1">
        <v>9</v>
      </c>
      <c r="B7" s="1" t="s">
        <v>85</v>
      </c>
      <c r="C7" s="1" t="s">
        <v>86</v>
      </c>
      <c r="D7" s="1" t="s">
        <v>45</v>
      </c>
      <c r="E7" s="1" t="s">
        <v>46</v>
      </c>
      <c r="F7" s="1" t="s">
        <v>63</v>
      </c>
      <c r="G7" s="1" t="s">
        <v>48</v>
      </c>
      <c r="H7" s="1" t="s">
        <v>81</v>
      </c>
      <c r="I7" s="1" t="s">
        <v>50</v>
      </c>
      <c r="J7" s="4"/>
      <c r="K7" s="5">
        <v>500000</v>
      </c>
      <c r="L7" s="6">
        <v>0.9</v>
      </c>
      <c r="M7" s="5">
        <v>450000</v>
      </c>
      <c r="N7" s="1"/>
      <c r="O7" s="5"/>
      <c r="P7" s="5"/>
      <c r="Q7" s="5">
        <v>500000</v>
      </c>
      <c r="R7" s="1" t="s">
        <v>82</v>
      </c>
      <c r="S7" s="1" t="s">
        <v>81</v>
      </c>
      <c r="T7" s="1"/>
      <c r="U7" s="1"/>
      <c r="V7" s="1"/>
      <c r="W7" s="1" t="s">
        <v>56</v>
      </c>
      <c r="X7" s="4"/>
      <c r="Y7" s="4"/>
      <c r="Z7" s="6">
        <v>0</v>
      </c>
      <c r="AA7" s="4"/>
      <c r="AB7" s="4"/>
      <c r="AC7" s="1" t="s">
        <v>83</v>
      </c>
      <c r="AD7" s="1">
        <v>0</v>
      </c>
      <c r="AE7" s="1">
        <v>500000</v>
      </c>
      <c r="AF7" s="4" t="s">
        <v>84</v>
      </c>
      <c r="AG7" s="1" t="s">
        <v>60</v>
      </c>
      <c r="AH7" s="1"/>
      <c r="AI7" s="1" t="str">
        <f t="shared" si="0"/>
        <v>Watchlist</v>
      </c>
      <c r="AJ7" s="1" t="str">
        <f t="shared" si="1"/>
        <v>Scenario Only - No Close Date</v>
      </c>
      <c r="AK7" s="1" t="str">
        <f t="shared" si="2"/>
        <v>N</v>
      </c>
      <c r="AL7" s="5">
        <f>SUMIFS(SO_Mapping!$F:$F,SO_Mapping!$A:$A,$B7)</f>
        <v>0</v>
      </c>
      <c r="AM7" s="5" t="str">
        <f t="shared" si="3"/>
        <v>N</v>
      </c>
      <c r="AN7" s="5">
        <f t="shared" si="4"/>
        <v>500000</v>
      </c>
      <c r="AO7" s="1" t="str">
        <f t="shared" si="5"/>
        <v>No expected close date</v>
      </c>
      <c r="AP7" s="1" t="str">
        <f t="shared" si="6"/>
        <v/>
      </c>
      <c r="AQ7" s="1"/>
    </row>
    <row r="8" spans="1:43" ht="42">
      <c r="A8" s="1">
        <v>11</v>
      </c>
      <c r="B8" s="1" t="s">
        <v>87</v>
      </c>
      <c r="C8" s="1" t="s">
        <v>62</v>
      </c>
      <c r="D8" s="1" t="s">
        <v>45</v>
      </c>
      <c r="E8" s="1" t="s">
        <v>46</v>
      </c>
      <c r="F8" s="1" t="s">
        <v>69</v>
      </c>
      <c r="G8" s="1" t="s">
        <v>48</v>
      </c>
      <c r="H8" s="1" t="s">
        <v>49</v>
      </c>
      <c r="I8" s="1" t="s">
        <v>50</v>
      </c>
      <c r="J8" s="4" t="s">
        <v>88</v>
      </c>
      <c r="K8" s="5">
        <v>500000</v>
      </c>
      <c r="L8" s="6">
        <v>0.75</v>
      </c>
      <c r="M8" s="5">
        <v>375000</v>
      </c>
      <c r="N8" s="1" t="s">
        <v>89</v>
      </c>
      <c r="O8" s="5">
        <v>65518</v>
      </c>
      <c r="P8" s="5" t="s">
        <v>88</v>
      </c>
      <c r="Q8" s="5">
        <v>434482</v>
      </c>
      <c r="R8" s="1" t="s">
        <v>90</v>
      </c>
      <c r="S8" s="1" t="s">
        <v>54</v>
      </c>
      <c r="T8" s="1"/>
      <c r="U8" s="1" t="s">
        <v>91</v>
      </c>
      <c r="V8" s="1"/>
      <c r="W8" s="1" t="s">
        <v>56</v>
      </c>
      <c r="X8" s="4" t="s">
        <v>88</v>
      </c>
      <c r="Y8" s="4" t="s">
        <v>92</v>
      </c>
      <c r="Z8" s="6">
        <v>0</v>
      </c>
      <c r="AA8" s="4"/>
      <c r="AB8" s="4" t="s">
        <v>92</v>
      </c>
      <c r="AC8" s="1" t="s">
        <v>58</v>
      </c>
      <c r="AD8" s="1">
        <v>65518</v>
      </c>
      <c r="AE8" s="1">
        <v>434482</v>
      </c>
      <c r="AF8" s="4" t="s">
        <v>59</v>
      </c>
      <c r="AG8" s="1" t="s">
        <v>60</v>
      </c>
      <c r="AH8" s="1"/>
      <c r="AI8" s="1" t="str">
        <f t="shared" si="0"/>
        <v>Converted/Partially Converted</v>
      </c>
      <c r="AJ8" s="1" t="str">
        <f t="shared" si="1"/>
        <v>Not Eligible - SO Mapping Review</v>
      </c>
      <c r="AK8" s="1" t="str">
        <f t="shared" si="2"/>
        <v>N</v>
      </c>
      <c r="AL8" s="5">
        <f>SUMIFS(SO_Mapping!$F:$F,SO_Mapping!$A:$A,$B8)</f>
        <v>0</v>
      </c>
      <c r="AM8" s="5" t="str">
        <f t="shared" si="3"/>
        <v>Y</v>
      </c>
      <c r="AN8" s="5">
        <f t="shared" si="4"/>
        <v>500000</v>
      </c>
      <c r="AO8" s="1" t="str">
        <f t="shared" si="5"/>
        <v>SO mapping must be resolved</v>
      </c>
      <c r="AP8" s="1" t="str">
        <f t="shared" si="6"/>
        <v/>
      </c>
      <c r="AQ8" s="1"/>
    </row>
    <row r="9" spans="1:43" ht="42">
      <c r="A9" s="1">
        <v>12</v>
      </c>
      <c r="B9" s="1" t="s">
        <v>93</v>
      </c>
      <c r="C9" s="1" t="s">
        <v>94</v>
      </c>
      <c r="D9" s="1" t="s">
        <v>95</v>
      </c>
      <c r="E9" s="1" t="s">
        <v>96</v>
      </c>
      <c r="F9" s="1" t="s">
        <v>69</v>
      </c>
      <c r="G9" s="1" t="s">
        <v>97</v>
      </c>
      <c r="H9" s="1" t="s">
        <v>49</v>
      </c>
      <c r="I9" s="1" t="s">
        <v>50</v>
      </c>
      <c r="J9" s="4" t="s">
        <v>98</v>
      </c>
      <c r="K9" s="5">
        <v>275000</v>
      </c>
      <c r="L9" s="6">
        <v>1</v>
      </c>
      <c r="M9" s="5">
        <v>275000</v>
      </c>
      <c r="N9" s="1" t="s">
        <v>99</v>
      </c>
      <c r="O9" s="5">
        <v>280000</v>
      </c>
      <c r="P9" s="5" t="s">
        <v>98</v>
      </c>
      <c r="Q9" s="5"/>
      <c r="R9" s="1" t="s">
        <v>100</v>
      </c>
      <c r="S9" s="1" t="s">
        <v>101</v>
      </c>
      <c r="T9" s="1"/>
      <c r="U9" s="1"/>
      <c r="V9" s="1"/>
      <c r="W9" s="1" t="s">
        <v>56</v>
      </c>
      <c r="X9" s="4" t="s">
        <v>98</v>
      </c>
      <c r="Y9" s="4" t="s">
        <v>102</v>
      </c>
      <c r="Z9" s="6">
        <v>0</v>
      </c>
      <c r="AA9" s="4"/>
      <c r="AB9" s="4" t="s">
        <v>102</v>
      </c>
      <c r="AC9" s="1" t="s">
        <v>58</v>
      </c>
      <c r="AD9" s="1">
        <v>280000</v>
      </c>
      <c r="AE9" s="1">
        <v>0</v>
      </c>
      <c r="AF9" s="4" t="s">
        <v>59</v>
      </c>
      <c r="AG9" s="1" t="s">
        <v>60</v>
      </c>
      <c r="AH9" s="1"/>
      <c r="AI9" s="1" t="str">
        <f t="shared" si="0"/>
        <v>Converted/Partially Converted</v>
      </c>
      <c r="AJ9" s="1" t="str">
        <f t="shared" si="1"/>
        <v>Eligible</v>
      </c>
      <c r="AK9" s="1" t="str">
        <f t="shared" si="2"/>
        <v>Y</v>
      </c>
      <c r="AL9" s="5">
        <f>SUMIFS(SO_Mapping!$F:$F,SO_Mapping!$A:$A,$B9)</f>
        <v>280000</v>
      </c>
      <c r="AM9" s="5" t="str">
        <f t="shared" si="3"/>
        <v>N</v>
      </c>
      <c r="AN9" s="5">
        <f t="shared" si="4"/>
        <v>0</v>
      </c>
      <c r="AO9" s="1" t="str">
        <f t="shared" si="5"/>
        <v>Cash eligible</v>
      </c>
      <c r="AP9" s="1" t="str">
        <f t="shared" si="6"/>
        <v>2026-03-11</v>
      </c>
      <c r="AQ9" s="1"/>
    </row>
    <row r="10" spans="1:43" ht="56">
      <c r="A10" s="1">
        <v>13</v>
      </c>
      <c r="B10" s="1" t="s">
        <v>103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  <c r="H10" s="1" t="s">
        <v>49</v>
      </c>
      <c r="I10" s="1" t="s">
        <v>50</v>
      </c>
      <c r="J10" s="4" t="s">
        <v>109</v>
      </c>
      <c r="K10" s="5">
        <v>300000</v>
      </c>
      <c r="L10" s="6">
        <v>0.9</v>
      </c>
      <c r="M10" s="5">
        <v>270000</v>
      </c>
      <c r="N10" s="1" t="s">
        <v>110</v>
      </c>
      <c r="O10" s="5">
        <v>380572</v>
      </c>
      <c r="P10" s="5" t="s">
        <v>109</v>
      </c>
      <c r="Q10" s="5"/>
      <c r="R10" s="1" t="s">
        <v>111</v>
      </c>
      <c r="S10" s="1" t="s">
        <v>101</v>
      </c>
      <c r="T10" s="1"/>
      <c r="U10" s="1"/>
      <c r="V10" s="1"/>
      <c r="W10" s="1" t="s">
        <v>112</v>
      </c>
      <c r="X10" s="4" t="s">
        <v>109</v>
      </c>
      <c r="Y10" s="4" t="s">
        <v>113</v>
      </c>
      <c r="Z10" s="6">
        <v>0</v>
      </c>
      <c r="AA10" s="4"/>
      <c r="AB10" s="4" t="s">
        <v>113</v>
      </c>
      <c r="AC10" s="1" t="s">
        <v>58</v>
      </c>
      <c r="AD10" s="1">
        <v>380572</v>
      </c>
      <c r="AE10" s="1">
        <v>0</v>
      </c>
      <c r="AF10" s="4" t="s">
        <v>114</v>
      </c>
      <c r="AG10" s="1" t="s">
        <v>60</v>
      </c>
      <c r="AH10" s="1"/>
      <c r="AI10" s="1" t="str">
        <f t="shared" si="0"/>
        <v>Converted/Partially Converted</v>
      </c>
      <c r="AJ10" s="1" t="str">
        <f t="shared" si="1"/>
        <v>Not Eligible - SO Mapping Review</v>
      </c>
      <c r="AK10" s="1" t="str">
        <f t="shared" si="2"/>
        <v>N</v>
      </c>
      <c r="AL10" s="5">
        <f>SUMIFS(SO_Mapping!$F:$F,SO_Mapping!$A:$A,$B10)</f>
        <v>0</v>
      </c>
      <c r="AM10" s="5" t="str">
        <f t="shared" si="3"/>
        <v>Y</v>
      </c>
      <c r="AN10" s="5">
        <f t="shared" si="4"/>
        <v>300000</v>
      </c>
      <c r="AO10" s="1" t="str">
        <f t="shared" si="5"/>
        <v>SO mapping must be resolved</v>
      </c>
      <c r="AP10" s="1" t="str">
        <f t="shared" si="6"/>
        <v/>
      </c>
      <c r="AQ10" s="1"/>
    </row>
    <row r="11" spans="1:43" ht="42">
      <c r="A11" s="1">
        <v>14</v>
      </c>
      <c r="B11" s="1" t="s">
        <v>115</v>
      </c>
      <c r="C11" s="1" t="s">
        <v>116</v>
      </c>
      <c r="D11" s="1" t="s">
        <v>117</v>
      </c>
      <c r="E11" s="1" t="s">
        <v>118</v>
      </c>
      <c r="F11" s="1" t="s">
        <v>63</v>
      </c>
      <c r="G11" s="1" t="s">
        <v>97</v>
      </c>
      <c r="H11" s="1" t="s">
        <v>81</v>
      </c>
      <c r="I11" s="1" t="s">
        <v>50</v>
      </c>
      <c r="J11" s="4"/>
      <c r="K11" s="5">
        <v>340000</v>
      </c>
      <c r="L11" s="6">
        <v>0.75</v>
      </c>
      <c r="M11" s="5">
        <v>255000</v>
      </c>
      <c r="N11" s="1"/>
      <c r="O11" s="5"/>
      <c r="P11" s="5"/>
      <c r="Q11" s="5">
        <v>340000</v>
      </c>
      <c r="R11" s="1" t="s">
        <v>82</v>
      </c>
      <c r="S11" s="1" t="s">
        <v>81</v>
      </c>
      <c r="T11" s="1"/>
      <c r="U11" s="1"/>
      <c r="V11" s="1"/>
      <c r="W11" s="1" t="s">
        <v>56</v>
      </c>
      <c r="X11" s="4"/>
      <c r="Y11" s="4"/>
      <c r="Z11" s="6">
        <v>0</v>
      </c>
      <c r="AA11" s="4"/>
      <c r="AB11" s="4"/>
      <c r="AC11" s="1" t="s">
        <v>83</v>
      </c>
      <c r="AD11" s="1">
        <v>0</v>
      </c>
      <c r="AE11" s="1">
        <v>340000</v>
      </c>
      <c r="AF11" s="4" t="s">
        <v>84</v>
      </c>
      <c r="AG11" s="1" t="s">
        <v>60</v>
      </c>
      <c r="AH11" s="1"/>
      <c r="AI11" s="1" t="str">
        <f t="shared" si="0"/>
        <v>Watchlist</v>
      </c>
      <c r="AJ11" s="1" t="str">
        <f t="shared" si="1"/>
        <v>Scenario Only - No Close Date</v>
      </c>
      <c r="AK11" s="1" t="str">
        <f t="shared" si="2"/>
        <v>N</v>
      </c>
      <c r="AL11" s="5">
        <f>SUMIFS(SO_Mapping!$F:$F,SO_Mapping!$A:$A,$B11)</f>
        <v>0</v>
      </c>
      <c r="AM11" s="5" t="str">
        <f t="shared" si="3"/>
        <v>N</v>
      </c>
      <c r="AN11" s="5">
        <f t="shared" si="4"/>
        <v>340000</v>
      </c>
      <c r="AO11" s="1" t="str">
        <f t="shared" si="5"/>
        <v>No expected close date</v>
      </c>
      <c r="AP11" s="1" t="str">
        <f t="shared" si="6"/>
        <v/>
      </c>
      <c r="AQ11" s="1"/>
    </row>
    <row r="12" spans="1:43" ht="42">
      <c r="A12" s="1">
        <v>15</v>
      </c>
      <c r="B12" s="1" t="s">
        <v>119</v>
      </c>
      <c r="C12" s="1" t="s">
        <v>44</v>
      </c>
      <c r="D12" s="1" t="s">
        <v>45</v>
      </c>
      <c r="E12" s="1" t="s">
        <v>46</v>
      </c>
      <c r="F12" s="1" t="s">
        <v>47</v>
      </c>
      <c r="G12" s="1" t="s">
        <v>48</v>
      </c>
      <c r="H12" s="1" t="s">
        <v>81</v>
      </c>
      <c r="I12" s="1" t="s">
        <v>50</v>
      </c>
      <c r="J12" s="4"/>
      <c r="K12" s="5">
        <v>300000</v>
      </c>
      <c r="L12" s="6">
        <v>0.8</v>
      </c>
      <c r="M12" s="5">
        <v>240000</v>
      </c>
      <c r="N12" s="1"/>
      <c r="O12" s="5"/>
      <c r="P12" s="5"/>
      <c r="Q12" s="5">
        <v>300000</v>
      </c>
      <c r="R12" s="1" t="s">
        <v>82</v>
      </c>
      <c r="S12" s="1" t="s">
        <v>81</v>
      </c>
      <c r="T12" s="1"/>
      <c r="U12" s="1"/>
      <c r="V12" s="1"/>
      <c r="W12" s="1" t="s">
        <v>56</v>
      </c>
      <c r="X12" s="4"/>
      <c r="Y12" s="4"/>
      <c r="Z12" s="6">
        <v>0</v>
      </c>
      <c r="AA12" s="4"/>
      <c r="AB12" s="4"/>
      <c r="AC12" s="1" t="s">
        <v>83</v>
      </c>
      <c r="AD12" s="1">
        <v>0</v>
      </c>
      <c r="AE12" s="1">
        <v>300000</v>
      </c>
      <c r="AF12" s="4" t="s">
        <v>84</v>
      </c>
      <c r="AG12" s="1" t="s">
        <v>60</v>
      </c>
      <c r="AH12" s="1"/>
      <c r="AI12" s="1" t="str">
        <f t="shared" si="0"/>
        <v>Watchlist</v>
      </c>
      <c r="AJ12" s="1" t="str">
        <f t="shared" si="1"/>
        <v>Scenario Only - No Close Date</v>
      </c>
      <c r="AK12" s="1" t="str">
        <f t="shared" si="2"/>
        <v>N</v>
      </c>
      <c r="AL12" s="5">
        <f>SUMIFS(SO_Mapping!$F:$F,SO_Mapping!$A:$A,$B12)</f>
        <v>0</v>
      </c>
      <c r="AM12" s="5" t="str">
        <f t="shared" si="3"/>
        <v>N</v>
      </c>
      <c r="AN12" s="5">
        <f t="shared" si="4"/>
        <v>300000</v>
      </c>
      <c r="AO12" s="1" t="str">
        <f t="shared" si="5"/>
        <v>No expected close date</v>
      </c>
      <c r="AP12" s="1" t="str">
        <f t="shared" si="6"/>
        <v/>
      </c>
      <c r="AQ12" s="1"/>
    </row>
    <row r="13" spans="1:43" ht="42">
      <c r="A13" s="1">
        <v>16</v>
      </c>
      <c r="B13" s="1" t="s">
        <v>120</v>
      </c>
      <c r="C13" s="1" t="s">
        <v>121</v>
      </c>
      <c r="D13" s="1" t="s">
        <v>122</v>
      </c>
      <c r="E13" s="1" t="s">
        <v>106</v>
      </c>
      <c r="F13" s="1" t="s">
        <v>47</v>
      </c>
      <c r="G13" s="1" t="s">
        <v>108</v>
      </c>
      <c r="H13" s="1" t="s">
        <v>81</v>
      </c>
      <c r="I13" s="1" t="s">
        <v>50</v>
      </c>
      <c r="J13" s="4"/>
      <c r="K13" s="5">
        <v>300000</v>
      </c>
      <c r="L13" s="6">
        <v>0.75</v>
      </c>
      <c r="M13" s="5">
        <v>225000</v>
      </c>
      <c r="N13" s="1"/>
      <c r="O13" s="5"/>
      <c r="P13" s="5"/>
      <c r="Q13" s="5">
        <v>300000</v>
      </c>
      <c r="R13" s="1" t="s">
        <v>82</v>
      </c>
      <c r="S13" s="1" t="s">
        <v>81</v>
      </c>
      <c r="T13" s="1"/>
      <c r="U13" s="1"/>
      <c r="V13" s="1"/>
      <c r="W13" s="1" t="s">
        <v>56</v>
      </c>
      <c r="X13" s="4"/>
      <c r="Y13" s="4"/>
      <c r="Z13" s="6">
        <v>0</v>
      </c>
      <c r="AA13" s="4"/>
      <c r="AB13" s="4"/>
      <c r="AC13" s="1" t="s">
        <v>83</v>
      </c>
      <c r="AD13" s="1">
        <v>0</v>
      </c>
      <c r="AE13" s="1">
        <v>300000</v>
      </c>
      <c r="AF13" s="4" t="s">
        <v>84</v>
      </c>
      <c r="AG13" s="1" t="s">
        <v>60</v>
      </c>
      <c r="AH13" s="1"/>
      <c r="AI13" s="1" t="str">
        <f t="shared" si="0"/>
        <v>Watchlist</v>
      </c>
      <c r="AJ13" s="1" t="str">
        <f t="shared" si="1"/>
        <v>Scenario Only - No Close Date</v>
      </c>
      <c r="AK13" s="1" t="str">
        <f t="shared" si="2"/>
        <v>N</v>
      </c>
      <c r="AL13" s="5">
        <f>SUMIFS(SO_Mapping!$F:$F,SO_Mapping!$A:$A,$B13)</f>
        <v>0</v>
      </c>
      <c r="AM13" s="5" t="str">
        <f t="shared" si="3"/>
        <v>N</v>
      </c>
      <c r="AN13" s="5">
        <f t="shared" si="4"/>
        <v>300000</v>
      </c>
      <c r="AO13" s="1" t="str">
        <f t="shared" si="5"/>
        <v>No expected close date</v>
      </c>
      <c r="AP13" s="1" t="str">
        <f t="shared" si="6"/>
        <v/>
      </c>
      <c r="AQ13" s="1"/>
    </row>
    <row r="14" spans="1:43" ht="42">
      <c r="A14" s="1">
        <v>17</v>
      </c>
      <c r="B14" s="1" t="s">
        <v>123</v>
      </c>
      <c r="C14" s="1" t="s">
        <v>124</v>
      </c>
      <c r="D14" s="1" t="s">
        <v>125</v>
      </c>
      <c r="E14" s="1" t="s">
        <v>126</v>
      </c>
      <c r="F14" s="1" t="s">
        <v>47</v>
      </c>
      <c r="G14" s="1" t="s">
        <v>48</v>
      </c>
      <c r="H14" s="1" t="s">
        <v>49</v>
      </c>
      <c r="I14" s="1" t="s">
        <v>50</v>
      </c>
      <c r="J14" s="4" t="s">
        <v>127</v>
      </c>
      <c r="K14" s="5">
        <v>241000</v>
      </c>
      <c r="L14" s="6">
        <v>0.75</v>
      </c>
      <c r="M14" s="5">
        <v>180750</v>
      </c>
      <c r="N14" s="1" t="s">
        <v>128</v>
      </c>
      <c r="O14" s="5">
        <v>104760</v>
      </c>
      <c r="P14" s="5" t="s">
        <v>127</v>
      </c>
      <c r="Q14" s="5">
        <v>136240</v>
      </c>
      <c r="R14" s="1" t="s">
        <v>129</v>
      </c>
      <c r="S14" s="1" t="s">
        <v>54</v>
      </c>
      <c r="T14" s="1"/>
      <c r="U14" s="1"/>
      <c r="V14" s="1"/>
      <c r="W14" s="1" t="s">
        <v>56</v>
      </c>
      <c r="X14" s="4" t="s">
        <v>127</v>
      </c>
      <c r="Y14" s="4" t="s">
        <v>130</v>
      </c>
      <c r="Z14" s="6">
        <v>0</v>
      </c>
      <c r="AA14" s="4"/>
      <c r="AB14" s="4" t="s">
        <v>130</v>
      </c>
      <c r="AC14" s="1" t="s">
        <v>58</v>
      </c>
      <c r="AD14" s="1">
        <v>104760</v>
      </c>
      <c r="AE14" s="1">
        <v>136240</v>
      </c>
      <c r="AF14" s="4" t="s">
        <v>59</v>
      </c>
      <c r="AG14" s="1" t="s">
        <v>60</v>
      </c>
      <c r="AH14" s="1"/>
      <c r="AI14" s="1" t="str">
        <f t="shared" si="0"/>
        <v>Converted/Partially Converted</v>
      </c>
      <c r="AJ14" s="1" t="str">
        <f t="shared" si="1"/>
        <v>Eligible</v>
      </c>
      <c r="AK14" s="1" t="str">
        <f t="shared" si="2"/>
        <v>Y</v>
      </c>
      <c r="AL14" s="5">
        <f>SUMIFS(SO_Mapping!$F:$F,SO_Mapping!$A:$A,$B14)</f>
        <v>104760</v>
      </c>
      <c r="AM14" s="5" t="str">
        <f t="shared" si="3"/>
        <v>N</v>
      </c>
      <c r="AN14" s="5">
        <f t="shared" si="4"/>
        <v>136240</v>
      </c>
      <c r="AO14" s="1" t="str">
        <f t="shared" si="5"/>
        <v>Cash eligible</v>
      </c>
      <c r="AP14" s="1" t="str">
        <f t="shared" si="6"/>
        <v>2026-06-12</v>
      </c>
      <c r="AQ14" s="1"/>
    </row>
    <row r="15" spans="1:43" ht="42">
      <c r="A15" s="1">
        <v>18</v>
      </c>
      <c r="B15" s="1" t="s">
        <v>131</v>
      </c>
      <c r="C15" s="1" t="s">
        <v>104</v>
      </c>
      <c r="D15" s="1" t="s">
        <v>105</v>
      </c>
      <c r="E15" s="1" t="s">
        <v>106</v>
      </c>
      <c r="F15" s="1" t="s">
        <v>69</v>
      </c>
      <c r="G15" s="1" t="s">
        <v>108</v>
      </c>
      <c r="H15" s="1" t="s">
        <v>49</v>
      </c>
      <c r="I15" s="1" t="s">
        <v>50</v>
      </c>
      <c r="J15" s="4" t="s">
        <v>132</v>
      </c>
      <c r="K15" s="5">
        <v>200000</v>
      </c>
      <c r="L15" s="6">
        <v>0.9</v>
      </c>
      <c r="M15" s="5">
        <v>180000</v>
      </c>
      <c r="N15" s="1" t="s">
        <v>133</v>
      </c>
      <c r="O15" s="5">
        <v>88161</v>
      </c>
      <c r="P15" s="5" t="s">
        <v>132</v>
      </c>
      <c r="Q15" s="5">
        <v>111839</v>
      </c>
      <c r="R15" s="1" t="s">
        <v>134</v>
      </c>
      <c r="S15" s="1" t="s">
        <v>54</v>
      </c>
      <c r="T15" s="1"/>
      <c r="U15" s="1"/>
      <c r="V15" s="1"/>
      <c r="W15" s="1" t="s">
        <v>56</v>
      </c>
      <c r="X15" s="4" t="s">
        <v>132</v>
      </c>
      <c r="Y15" s="4" t="s">
        <v>135</v>
      </c>
      <c r="Z15" s="6">
        <v>0</v>
      </c>
      <c r="AA15" s="4"/>
      <c r="AB15" s="4" t="s">
        <v>135</v>
      </c>
      <c r="AC15" s="1" t="s">
        <v>58</v>
      </c>
      <c r="AD15" s="1">
        <v>88161</v>
      </c>
      <c r="AE15" s="1">
        <v>111839</v>
      </c>
      <c r="AF15" s="4" t="s">
        <v>59</v>
      </c>
      <c r="AG15" s="1" t="s">
        <v>60</v>
      </c>
      <c r="AH15" s="1"/>
      <c r="AI15" s="1" t="str">
        <f t="shared" si="0"/>
        <v>Converted/Partially Converted</v>
      </c>
      <c r="AJ15" s="1" t="str">
        <f t="shared" si="1"/>
        <v>Eligible</v>
      </c>
      <c r="AK15" s="1" t="str">
        <f t="shared" si="2"/>
        <v>Y</v>
      </c>
      <c r="AL15" s="5">
        <f>SUMIFS(SO_Mapping!$F:$F,SO_Mapping!$A:$A,$B15)</f>
        <v>88161</v>
      </c>
      <c r="AM15" s="5" t="str">
        <f t="shared" si="3"/>
        <v>N</v>
      </c>
      <c r="AN15" s="5">
        <f t="shared" si="4"/>
        <v>111839</v>
      </c>
      <c r="AO15" s="1" t="str">
        <f t="shared" si="5"/>
        <v>Cash eligible</v>
      </c>
      <c r="AP15" s="1" t="str">
        <f t="shared" si="6"/>
        <v>2026-05-16</v>
      </c>
      <c r="AQ15" s="1"/>
    </row>
    <row r="16" spans="1:43" ht="42">
      <c r="A16" s="1">
        <v>19</v>
      </c>
      <c r="B16" s="1" t="s">
        <v>136</v>
      </c>
      <c r="C16" s="1" t="s">
        <v>104</v>
      </c>
      <c r="D16" s="1" t="s">
        <v>105</v>
      </c>
      <c r="E16" s="1" t="s">
        <v>106</v>
      </c>
      <c r="F16" s="1" t="s">
        <v>63</v>
      </c>
      <c r="G16" s="1" t="s">
        <v>108</v>
      </c>
      <c r="H16" s="1" t="s">
        <v>81</v>
      </c>
      <c r="I16" s="1" t="s">
        <v>50</v>
      </c>
      <c r="J16" s="4"/>
      <c r="K16" s="5">
        <v>200000</v>
      </c>
      <c r="L16" s="6">
        <v>0.9</v>
      </c>
      <c r="M16" s="5">
        <v>180000</v>
      </c>
      <c r="N16" s="1"/>
      <c r="O16" s="5"/>
      <c r="P16" s="5"/>
      <c r="Q16" s="5">
        <v>200000</v>
      </c>
      <c r="R16" s="1" t="s">
        <v>82</v>
      </c>
      <c r="S16" s="1" t="s">
        <v>81</v>
      </c>
      <c r="T16" s="1"/>
      <c r="U16" s="1"/>
      <c r="V16" s="1"/>
      <c r="W16" s="1" t="s">
        <v>56</v>
      </c>
      <c r="X16" s="4"/>
      <c r="Y16" s="4"/>
      <c r="Z16" s="6">
        <v>0</v>
      </c>
      <c r="AA16" s="4"/>
      <c r="AB16" s="4"/>
      <c r="AC16" s="1" t="s">
        <v>83</v>
      </c>
      <c r="AD16" s="1">
        <v>0</v>
      </c>
      <c r="AE16" s="1">
        <v>200000</v>
      </c>
      <c r="AF16" s="4" t="s">
        <v>84</v>
      </c>
      <c r="AG16" s="1" t="s">
        <v>60</v>
      </c>
      <c r="AH16" s="1"/>
      <c r="AI16" s="1" t="str">
        <f t="shared" si="0"/>
        <v>Watchlist</v>
      </c>
      <c r="AJ16" s="1" t="str">
        <f t="shared" si="1"/>
        <v>Scenario Only - No Close Date</v>
      </c>
      <c r="AK16" s="1" t="str">
        <f t="shared" si="2"/>
        <v>N</v>
      </c>
      <c r="AL16" s="5">
        <f>SUMIFS(SO_Mapping!$F:$F,SO_Mapping!$A:$A,$B16)</f>
        <v>0</v>
      </c>
      <c r="AM16" s="5" t="str">
        <f t="shared" si="3"/>
        <v>N</v>
      </c>
      <c r="AN16" s="5">
        <f t="shared" si="4"/>
        <v>200000</v>
      </c>
      <c r="AO16" s="1" t="str">
        <f t="shared" si="5"/>
        <v>No expected close date</v>
      </c>
      <c r="AP16" s="1" t="str">
        <f t="shared" si="6"/>
        <v/>
      </c>
      <c r="AQ16" s="1"/>
    </row>
    <row r="17" spans="1:43" ht="42">
      <c r="A17" s="1">
        <v>20</v>
      </c>
      <c r="B17" s="1" t="s">
        <v>137</v>
      </c>
      <c r="C17" s="1" t="s">
        <v>121</v>
      </c>
      <c r="D17" s="1" t="s">
        <v>122</v>
      </c>
      <c r="E17" s="1" t="s">
        <v>106</v>
      </c>
      <c r="F17" s="1" t="s">
        <v>63</v>
      </c>
      <c r="G17" s="1" t="s">
        <v>108</v>
      </c>
      <c r="H17" s="1" t="s">
        <v>81</v>
      </c>
      <c r="I17" s="1" t="s">
        <v>50</v>
      </c>
      <c r="J17" s="4"/>
      <c r="K17" s="5">
        <v>300000</v>
      </c>
      <c r="L17" s="6">
        <v>0.5</v>
      </c>
      <c r="M17" s="5">
        <v>150000</v>
      </c>
      <c r="N17" s="1"/>
      <c r="O17" s="5"/>
      <c r="P17" s="5"/>
      <c r="Q17" s="5">
        <v>300000</v>
      </c>
      <c r="R17" s="1" t="s">
        <v>82</v>
      </c>
      <c r="S17" s="1" t="s">
        <v>81</v>
      </c>
      <c r="T17" s="1"/>
      <c r="U17" s="1"/>
      <c r="V17" s="1"/>
      <c r="W17" s="1" t="s">
        <v>56</v>
      </c>
      <c r="X17" s="4"/>
      <c r="Y17" s="4"/>
      <c r="Z17" s="6">
        <v>0</v>
      </c>
      <c r="AA17" s="4"/>
      <c r="AB17" s="4"/>
      <c r="AC17" s="1" t="s">
        <v>83</v>
      </c>
      <c r="AD17" s="1">
        <v>0</v>
      </c>
      <c r="AE17" s="1">
        <v>300000</v>
      </c>
      <c r="AF17" s="4" t="s">
        <v>84</v>
      </c>
      <c r="AG17" s="1" t="s">
        <v>60</v>
      </c>
      <c r="AH17" s="1"/>
      <c r="AI17" s="1" t="str">
        <f t="shared" si="0"/>
        <v>Watchlist</v>
      </c>
      <c r="AJ17" s="1" t="str">
        <f t="shared" si="1"/>
        <v>Scenario Only - No Close Date</v>
      </c>
      <c r="AK17" s="1" t="str">
        <f t="shared" si="2"/>
        <v>N</v>
      </c>
      <c r="AL17" s="5">
        <f>SUMIFS(SO_Mapping!$F:$F,SO_Mapping!$A:$A,$B17)</f>
        <v>0</v>
      </c>
      <c r="AM17" s="5" t="str">
        <f t="shared" si="3"/>
        <v>N</v>
      </c>
      <c r="AN17" s="5">
        <f t="shared" si="4"/>
        <v>300000</v>
      </c>
      <c r="AO17" s="1" t="str">
        <f t="shared" si="5"/>
        <v>No expected close date</v>
      </c>
      <c r="AP17" s="1" t="str">
        <f t="shared" si="6"/>
        <v/>
      </c>
      <c r="AQ17" s="1"/>
    </row>
    <row r="18" spans="1:43" ht="42">
      <c r="A18" s="1">
        <v>22</v>
      </c>
      <c r="B18" s="1" t="s">
        <v>138</v>
      </c>
      <c r="C18" s="1" t="s">
        <v>139</v>
      </c>
      <c r="D18" s="1" t="s">
        <v>140</v>
      </c>
      <c r="E18" s="1" t="s">
        <v>96</v>
      </c>
      <c r="F18" s="1" t="s">
        <v>63</v>
      </c>
      <c r="G18" s="1" t="s">
        <v>97</v>
      </c>
      <c r="H18" s="1" t="s">
        <v>49</v>
      </c>
      <c r="I18" s="1" t="s">
        <v>50</v>
      </c>
      <c r="J18" s="4" t="s">
        <v>141</v>
      </c>
      <c r="K18" s="5">
        <v>135000</v>
      </c>
      <c r="L18" s="6">
        <v>0.9</v>
      </c>
      <c r="M18" s="5">
        <v>121500</v>
      </c>
      <c r="N18" s="1" t="s">
        <v>142</v>
      </c>
      <c r="O18" s="5">
        <v>69832</v>
      </c>
      <c r="P18" s="5" t="s">
        <v>141</v>
      </c>
      <c r="Q18" s="5">
        <v>65168</v>
      </c>
      <c r="R18" s="1" t="s">
        <v>143</v>
      </c>
      <c r="S18" s="1" t="s">
        <v>54</v>
      </c>
      <c r="T18" s="1"/>
      <c r="U18" s="1"/>
      <c r="V18" s="1"/>
      <c r="W18" s="1" t="s">
        <v>56</v>
      </c>
      <c r="X18" s="4" t="s">
        <v>141</v>
      </c>
      <c r="Y18" s="4" t="s">
        <v>144</v>
      </c>
      <c r="Z18" s="6">
        <v>0</v>
      </c>
      <c r="AA18" s="4"/>
      <c r="AB18" s="4" t="s">
        <v>144</v>
      </c>
      <c r="AC18" s="1" t="s">
        <v>58</v>
      </c>
      <c r="AD18" s="1">
        <v>69832</v>
      </c>
      <c r="AE18" s="1">
        <v>65168</v>
      </c>
      <c r="AF18" s="4" t="s">
        <v>59</v>
      </c>
      <c r="AG18" s="1" t="s">
        <v>60</v>
      </c>
      <c r="AH18" s="1"/>
      <c r="AI18" s="1" t="str">
        <f t="shared" si="0"/>
        <v>Converted/Partially Converted</v>
      </c>
      <c r="AJ18" s="1" t="str">
        <f t="shared" si="1"/>
        <v>Eligible</v>
      </c>
      <c r="AK18" s="1" t="str">
        <f t="shared" si="2"/>
        <v>Y</v>
      </c>
      <c r="AL18" s="5">
        <f>SUMIFS(SO_Mapping!$F:$F,SO_Mapping!$A:$A,$B18)</f>
        <v>69832</v>
      </c>
      <c r="AM18" s="5" t="str">
        <f t="shared" si="3"/>
        <v>N</v>
      </c>
      <c r="AN18" s="5">
        <f t="shared" si="4"/>
        <v>65168</v>
      </c>
      <c r="AO18" s="1" t="str">
        <f t="shared" si="5"/>
        <v>Cash eligible</v>
      </c>
      <c r="AP18" s="1" t="str">
        <f t="shared" si="6"/>
        <v>2026-06-14</v>
      </c>
      <c r="AQ18" s="1"/>
    </row>
    <row r="19" spans="1:43" ht="42">
      <c r="A19" s="1">
        <v>23</v>
      </c>
      <c r="B19" s="1" t="s">
        <v>145</v>
      </c>
      <c r="C19" s="1" t="s">
        <v>139</v>
      </c>
      <c r="D19" s="1" t="s">
        <v>140</v>
      </c>
      <c r="E19" s="1" t="s">
        <v>96</v>
      </c>
      <c r="F19" s="1" t="s">
        <v>47</v>
      </c>
      <c r="G19" s="1" t="s">
        <v>97</v>
      </c>
      <c r="H19" s="1" t="s">
        <v>81</v>
      </c>
      <c r="I19" s="1" t="s">
        <v>50</v>
      </c>
      <c r="J19" s="4"/>
      <c r="K19" s="5">
        <v>135000</v>
      </c>
      <c r="L19" s="6">
        <v>0.9</v>
      </c>
      <c r="M19" s="5">
        <v>121500</v>
      </c>
      <c r="N19" s="1"/>
      <c r="O19" s="5"/>
      <c r="P19" s="5"/>
      <c r="Q19" s="5">
        <v>135000</v>
      </c>
      <c r="R19" s="1" t="s">
        <v>82</v>
      </c>
      <c r="S19" s="1" t="s">
        <v>81</v>
      </c>
      <c r="T19" s="1"/>
      <c r="U19" s="1"/>
      <c r="V19" s="1"/>
      <c r="W19" s="1" t="s">
        <v>56</v>
      </c>
      <c r="X19" s="4"/>
      <c r="Y19" s="4"/>
      <c r="Z19" s="6">
        <v>0</v>
      </c>
      <c r="AA19" s="4"/>
      <c r="AB19" s="4"/>
      <c r="AC19" s="1" t="s">
        <v>83</v>
      </c>
      <c r="AD19" s="1">
        <v>0</v>
      </c>
      <c r="AE19" s="1">
        <v>135000</v>
      </c>
      <c r="AF19" s="4" t="s">
        <v>84</v>
      </c>
      <c r="AG19" s="1" t="s">
        <v>60</v>
      </c>
      <c r="AH19" s="1"/>
      <c r="AI19" s="1" t="str">
        <f t="shared" si="0"/>
        <v>Watchlist</v>
      </c>
      <c r="AJ19" s="1" t="str">
        <f t="shared" si="1"/>
        <v>Scenario Only - No Close Date</v>
      </c>
      <c r="AK19" s="1" t="str">
        <f t="shared" si="2"/>
        <v>N</v>
      </c>
      <c r="AL19" s="5">
        <f>SUMIFS(SO_Mapping!$F:$F,SO_Mapping!$A:$A,$B19)</f>
        <v>0</v>
      </c>
      <c r="AM19" s="5" t="str">
        <f t="shared" si="3"/>
        <v>N</v>
      </c>
      <c r="AN19" s="5">
        <f t="shared" si="4"/>
        <v>135000</v>
      </c>
      <c r="AO19" s="1" t="str">
        <f t="shared" si="5"/>
        <v>No expected close date</v>
      </c>
      <c r="AP19" s="1" t="str">
        <f t="shared" si="6"/>
        <v/>
      </c>
      <c r="AQ19" s="1"/>
    </row>
    <row r="20" spans="1:43" ht="56">
      <c r="A20" s="1">
        <v>24</v>
      </c>
      <c r="B20" s="1" t="s">
        <v>146</v>
      </c>
      <c r="C20" s="1" t="s">
        <v>147</v>
      </c>
      <c r="D20" s="1" t="s">
        <v>148</v>
      </c>
      <c r="E20" s="1" t="s">
        <v>118</v>
      </c>
      <c r="F20" s="1" t="s">
        <v>63</v>
      </c>
      <c r="G20" s="1" t="s">
        <v>48</v>
      </c>
      <c r="H20" s="1" t="s">
        <v>49</v>
      </c>
      <c r="I20" s="1" t="s">
        <v>50</v>
      </c>
      <c r="J20" s="4" t="s">
        <v>149</v>
      </c>
      <c r="K20" s="5">
        <v>120000</v>
      </c>
      <c r="L20" s="6">
        <v>1</v>
      </c>
      <c r="M20" s="5">
        <v>120000</v>
      </c>
      <c r="N20" s="1" t="s">
        <v>150</v>
      </c>
      <c r="O20" s="5">
        <v>235494</v>
      </c>
      <c r="P20" s="5" t="s">
        <v>149</v>
      </c>
      <c r="Q20" s="5"/>
      <c r="R20" s="1" t="s">
        <v>151</v>
      </c>
      <c r="S20" s="1" t="s">
        <v>101</v>
      </c>
      <c r="T20" s="1"/>
      <c r="U20" s="1"/>
      <c r="V20" s="1"/>
      <c r="W20" s="1" t="s">
        <v>112</v>
      </c>
      <c r="X20" s="4" t="s">
        <v>149</v>
      </c>
      <c r="Y20" s="4" t="s">
        <v>152</v>
      </c>
      <c r="Z20" s="6">
        <v>0</v>
      </c>
      <c r="AA20" s="4"/>
      <c r="AB20" s="4" t="s">
        <v>152</v>
      </c>
      <c r="AC20" s="1" t="s">
        <v>58</v>
      </c>
      <c r="AD20" s="1">
        <v>235494</v>
      </c>
      <c r="AE20" s="1">
        <v>0</v>
      </c>
      <c r="AF20" s="4" t="s">
        <v>114</v>
      </c>
      <c r="AG20" s="1" t="s">
        <v>60</v>
      </c>
      <c r="AH20" s="1"/>
      <c r="AI20" s="1" t="str">
        <f t="shared" si="0"/>
        <v>Converted/Partially Converted</v>
      </c>
      <c r="AJ20" s="1" t="str">
        <f t="shared" si="1"/>
        <v>Not Eligible - SO Mapping Review</v>
      </c>
      <c r="AK20" s="1" t="str">
        <f t="shared" si="2"/>
        <v>N</v>
      </c>
      <c r="AL20" s="5">
        <f>SUMIFS(SO_Mapping!$F:$F,SO_Mapping!$A:$A,$B20)</f>
        <v>0</v>
      </c>
      <c r="AM20" s="5" t="str">
        <f t="shared" si="3"/>
        <v>Y</v>
      </c>
      <c r="AN20" s="5">
        <f t="shared" si="4"/>
        <v>120000</v>
      </c>
      <c r="AO20" s="1" t="str">
        <f t="shared" si="5"/>
        <v>SO mapping must be resolved</v>
      </c>
      <c r="AP20" s="1" t="str">
        <f t="shared" si="6"/>
        <v/>
      </c>
      <c r="AQ20" s="1"/>
    </row>
    <row r="21" spans="1:43" ht="42">
      <c r="A21" s="1">
        <v>25</v>
      </c>
      <c r="B21" s="1" t="s">
        <v>153</v>
      </c>
      <c r="C21" s="1" t="s">
        <v>124</v>
      </c>
      <c r="D21" s="1" t="s">
        <v>125</v>
      </c>
      <c r="E21" s="1" t="s">
        <v>46</v>
      </c>
      <c r="F21" s="1" t="s">
        <v>69</v>
      </c>
      <c r="G21" s="1" t="s">
        <v>48</v>
      </c>
      <c r="H21" s="1" t="s">
        <v>49</v>
      </c>
      <c r="I21" s="1" t="s">
        <v>50</v>
      </c>
      <c r="J21" s="4" t="s">
        <v>154</v>
      </c>
      <c r="K21" s="5">
        <v>149215</v>
      </c>
      <c r="L21" s="6">
        <v>0.75</v>
      </c>
      <c r="M21" s="5">
        <v>111911</v>
      </c>
      <c r="N21" s="1" t="s">
        <v>155</v>
      </c>
      <c r="O21" s="5">
        <v>149215</v>
      </c>
      <c r="P21" s="5" t="s">
        <v>154</v>
      </c>
      <c r="Q21" s="5"/>
      <c r="R21" s="1" t="s">
        <v>156</v>
      </c>
      <c r="S21" s="1" t="s">
        <v>101</v>
      </c>
      <c r="T21" s="1"/>
      <c r="U21" s="1"/>
      <c r="V21" s="1"/>
      <c r="W21" s="1" t="s">
        <v>56</v>
      </c>
      <c r="X21" s="4" t="s">
        <v>154</v>
      </c>
      <c r="Y21" s="4" t="s">
        <v>157</v>
      </c>
      <c r="Z21" s="6">
        <v>0</v>
      </c>
      <c r="AA21" s="4"/>
      <c r="AB21" s="4" t="s">
        <v>157</v>
      </c>
      <c r="AC21" s="1" t="s">
        <v>58</v>
      </c>
      <c r="AD21" s="1">
        <v>149215</v>
      </c>
      <c r="AE21" s="1">
        <v>0</v>
      </c>
      <c r="AF21" s="4" t="s">
        <v>59</v>
      </c>
      <c r="AG21" s="1" t="s">
        <v>60</v>
      </c>
      <c r="AH21" s="1"/>
      <c r="AI21" s="1" t="str">
        <f t="shared" si="0"/>
        <v>Converted/Partially Converted</v>
      </c>
      <c r="AJ21" s="1" t="str">
        <f t="shared" si="1"/>
        <v>Eligible</v>
      </c>
      <c r="AK21" s="1" t="str">
        <f t="shared" si="2"/>
        <v>Y</v>
      </c>
      <c r="AL21" s="5">
        <f>SUMIFS(SO_Mapping!$F:$F,SO_Mapping!$A:$A,$B21)</f>
        <v>149215</v>
      </c>
      <c r="AM21" s="5" t="str">
        <f t="shared" si="3"/>
        <v>N</v>
      </c>
      <c r="AN21" s="5">
        <f t="shared" si="4"/>
        <v>0</v>
      </c>
      <c r="AO21" s="1" t="str">
        <f t="shared" si="5"/>
        <v>Cash eligible</v>
      </c>
      <c r="AP21" s="1" t="str">
        <f t="shared" si="6"/>
        <v>2026-02-15</v>
      </c>
      <c r="AQ21" s="1"/>
    </row>
    <row r="22" spans="1:43" ht="42">
      <c r="A22" s="1">
        <v>26</v>
      </c>
      <c r="B22" s="1" t="s">
        <v>158</v>
      </c>
      <c r="C22" s="1" t="s">
        <v>159</v>
      </c>
      <c r="D22" s="1" t="s">
        <v>160</v>
      </c>
      <c r="E22" s="1" t="s">
        <v>118</v>
      </c>
      <c r="F22" s="1" t="s">
        <v>63</v>
      </c>
      <c r="G22" s="1" t="s">
        <v>97</v>
      </c>
      <c r="H22" s="1" t="s">
        <v>81</v>
      </c>
      <c r="I22" s="1" t="s">
        <v>50</v>
      </c>
      <c r="J22" s="4"/>
      <c r="K22" s="5">
        <v>200000</v>
      </c>
      <c r="L22" s="6">
        <v>0.5</v>
      </c>
      <c r="M22" s="5">
        <v>100000</v>
      </c>
      <c r="N22" s="1"/>
      <c r="O22" s="5"/>
      <c r="P22" s="5"/>
      <c r="Q22" s="5">
        <v>200000</v>
      </c>
      <c r="R22" s="1" t="s">
        <v>82</v>
      </c>
      <c r="S22" s="1" t="s">
        <v>81</v>
      </c>
      <c r="T22" s="1"/>
      <c r="U22" s="1"/>
      <c r="V22" s="1"/>
      <c r="W22" s="1" t="s">
        <v>56</v>
      </c>
      <c r="X22" s="4"/>
      <c r="Y22" s="4"/>
      <c r="Z22" s="6">
        <v>0</v>
      </c>
      <c r="AA22" s="4"/>
      <c r="AB22" s="4"/>
      <c r="AC22" s="1" t="s">
        <v>83</v>
      </c>
      <c r="AD22" s="1">
        <v>0</v>
      </c>
      <c r="AE22" s="1">
        <v>200000</v>
      </c>
      <c r="AF22" s="4" t="s">
        <v>84</v>
      </c>
      <c r="AG22" s="1" t="s">
        <v>60</v>
      </c>
      <c r="AH22" s="1"/>
      <c r="AI22" s="1" t="str">
        <f t="shared" si="0"/>
        <v>Watchlist</v>
      </c>
      <c r="AJ22" s="1" t="str">
        <f t="shared" si="1"/>
        <v>Scenario Only - No Close Date</v>
      </c>
      <c r="AK22" s="1" t="str">
        <f t="shared" si="2"/>
        <v>N</v>
      </c>
      <c r="AL22" s="5">
        <f>SUMIFS(SO_Mapping!$F:$F,SO_Mapping!$A:$A,$B22)</f>
        <v>0</v>
      </c>
      <c r="AM22" s="5" t="str">
        <f t="shared" si="3"/>
        <v>N</v>
      </c>
      <c r="AN22" s="5">
        <f t="shared" si="4"/>
        <v>200000</v>
      </c>
      <c r="AO22" s="1" t="str">
        <f t="shared" si="5"/>
        <v>No expected close date</v>
      </c>
      <c r="AP22" s="1" t="str">
        <f t="shared" si="6"/>
        <v/>
      </c>
      <c r="AQ22" s="1"/>
    </row>
    <row r="23" spans="1:43" ht="56">
      <c r="A23" s="1">
        <v>27</v>
      </c>
      <c r="B23" s="1" t="s">
        <v>161</v>
      </c>
      <c r="C23" s="1" t="s">
        <v>162</v>
      </c>
      <c r="D23" s="1" t="s">
        <v>163</v>
      </c>
      <c r="E23" s="1" t="s">
        <v>118</v>
      </c>
      <c r="F23" s="1" t="s">
        <v>69</v>
      </c>
      <c r="G23" s="1" t="s">
        <v>97</v>
      </c>
      <c r="H23" s="1" t="s">
        <v>49</v>
      </c>
      <c r="I23" s="1" t="s">
        <v>50</v>
      </c>
      <c r="J23" s="4" t="s">
        <v>164</v>
      </c>
      <c r="K23" s="5">
        <v>100000</v>
      </c>
      <c r="L23" s="6">
        <v>0.9</v>
      </c>
      <c r="M23" s="5">
        <v>90000</v>
      </c>
      <c r="N23" s="1" t="s">
        <v>165</v>
      </c>
      <c r="O23" s="5">
        <v>129603</v>
      </c>
      <c r="P23" s="5" t="s">
        <v>164</v>
      </c>
      <c r="Q23" s="5"/>
      <c r="R23" s="1" t="s">
        <v>166</v>
      </c>
      <c r="S23" s="1" t="s">
        <v>101</v>
      </c>
      <c r="T23" s="1"/>
      <c r="U23" s="1"/>
      <c r="V23" s="1"/>
      <c r="W23" s="1" t="s">
        <v>112</v>
      </c>
      <c r="X23" s="4" t="s">
        <v>164</v>
      </c>
      <c r="Y23" s="4" t="s">
        <v>167</v>
      </c>
      <c r="Z23" s="6">
        <v>0</v>
      </c>
      <c r="AA23" s="4"/>
      <c r="AB23" s="4" t="s">
        <v>167</v>
      </c>
      <c r="AC23" s="1" t="s">
        <v>58</v>
      </c>
      <c r="AD23" s="1">
        <v>129603</v>
      </c>
      <c r="AE23" s="1">
        <v>0</v>
      </c>
      <c r="AF23" s="4" t="s">
        <v>114</v>
      </c>
      <c r="AG23" s="1" t="s">
        <v>60</v>
      </c>
      <c r="AH23" s="1"/>
      <c r="AI23" s="1" t="str">
        <f t="shared" si="0"/>
        <v>Converted/Partially Converted</v>
      </c>
      <c r="AJ23" s="1" t="str">
        <f t="shared" si="1"/>
        <v>Not Eligible - SO Mapping Review</v>
      </c>
      <c r="AK23" s="1" t="str">
        <f t="shared" si="2"/>
        <v>N</v>
      </c>
      <c r="AL23" s="5">
        <f>SUMIFS(SO_Mapping!$F:$F,SO_Mapping!$A:$A,$B23)</f>
        <v>0</v>
      </c>
      <c r="AM23" s="5" t="str">
        <f t="shared" si="3"/>
        <v>Y</v>
      </c>
      <c r="AN23" s="5">
        <f t="shared" si="4"/>
        <v>100000</v>
      </c>
      <c r="AO23" s="1" t="str">
        <f t="shared" si="5"/>
        <v>SO mapping must be resolved</v>
      </c>
      <c r="AP23" s="1" t="str">
        <f t="shared" si="6"/>
        <v/>
      </c>
      <c r="AQ23" s="1"/>
    </row>
    <row r="24" spans="1:43" ht="42">
      <c r="A24" s="1">
        <v>28</v>
      </c>
      <c r="B24" s="1" t="s">
        <v>168</v>
      </c>
      <c r="C24" s="1" t="s">
        <v>162</v>
      </c>
      <c r="D24" s="1" t="s">
        <v>163</v>
      </c>
      <c r="E24" s="1" t="s">
        <v>118</v>
      </c>
      <c r="F24" s="1" t="s">
        <v>63</v>
      </c>
      <c r="G24" s="1" t="s">
        <v>97</v>
      </c>
      <c r="H24" s="1" t="s">
        <v>81</v>
      </c>
      <c r="I24" s="1" t="s">
        <v>50</v>
      </c>
      <c r="J24" s="4"/>
      <c r="K24" s="5">
        <v>100000</v>
      </c>
      <c r="L24" s="6">
        <v>0.9</v>
      </c>
      <c r="M24" s="5">
        <v>90000</v>
      </c>
      <c r="N24" s="1"/>
      <c r="O24" s="5"/>
      <c r="P24" s="5"/>
      <c r="Q24" s="5">
        <v>100000</v>
      </c>
      <c r="R24" s="1" t="s">
        <v>82</v>
      </c>
      <c r="S24" s="1" t="s">
        <v>81</v>
      </c>
      <c r="T24" s="1"/>
      <c r="U24" s="1"/>
      <c r="V24" s="1"/>
      <c r="W24" s="1" t="s">
        <v>56</v>
      </c>
      <c r="X24" s="4"/>
      <c r="Y24" s="4"/>
      <c r="Z24" s="6">
        <v>0</v>
      </c>
      <c r="AA24" s="4"/>
      <c r="AB24" s="4"/>
      <c r="AC24" s="1" t="s">
        <v>83</v>
      </c>
      <c r="AD24" s="1">
        <v>0</v>
      </c>
      <c r="AE24" s="1">
        <v>100000</v>
      </c>
      <c r="AF24" s="4" t="s">
        <v>84</v>
      </c>
      <c r="AG24" s="1" t="s">
        <v>60</v>
      </c>
      <c r="AH24" s="1"/>
      <c r="AI24" s="1" t="str">
        <f t="shared" si="0"/>
        <v>Watchlist</v>
      </c>
      <c r="AJ24" s="1" t="str">
        <f t="shared" si="1"/>
        <v>Scenario Only - No Close Date</v>
      </c>
      <c r="AK24" s="1" t="str">
        <f t="shared" si="2"/>
        <v>N</v>
      </c>
      <c r="AL24" s="5">
        <f>SUMIFS(SO_Mapping!$F:$F,SO_Mapping!$A:$A,$B24)</f>
        <v>0</v>
      </c>
      <c r="AM24" s="5" t="str">
        <f t="shared" si="3"/>
        <v>N</v>
      </c>
      <c r="AN24" s="5">
        <f t="shared" si="4"/>
        <v>100000</v>
      </c>
      <c r="AO24" s="1" t="str">
        <f t="shared" si="5"/>
        <v>No expected close date</v>
      </c>
      <c r="AP24" s="1" t="str">
        <f t="shared" si="6"/>
        <v/>
      </c>
      <c r="AQ24" s="1"/>
    </row>
    <row r="25" spans="1:43" ht="42">
      <c r="A25" s="1">
        <v>29</v>
      </c>
      <c r="B25" s="1" t="s">
        <v>169</v>
      </c>
      <c r="C25" s="1" t="s">
        <v>170</v>
      </c>
      <c r="D25" s="1" t="s">
        <v>122</v>
      </c>
      <c r="E25" s="1" t="s">
        <v>106</v>
      </c>
      <c r="F25" s="1" t="s">
        <v>69</v>
      </c>
      <c r="G25" s="1" t="s">
        <v>108</v>
      </c>
      <c r="H25" s="1" t="s">
        <v>81</v>
      </c>
      <c r="I25" s="1" t="s">
        <v>50</v>
      </c>
      <c r="J25" s="4"/>
      <c r="K25" s="5">
        <v>90000</v>
      </c>
      <c r="L25" s="6">
        <v>0.9</v>
      </c>
      <c r="M25" s="5">
        <v>81000</v>
      </c>
      <c r="N25" s="1"/>
      <c r="O25" s="5"/>
      <c r="P25" s="5"/>
      <c r="Q25" s="5">
        <v>90000</v>
      </c>
      <c r="R25" s="1" t="s">
        <v>82</v>
      </c>
      <c r="S25" s="1" t="s">
        <v>81</v>
      </c>
      <c r="T25" s="1"/>
      <c r="U25" s="1"/>
      <c r="V25" s="1"/>
      <c r="W25" s="1" t="s">
        <v>56</v>
      </c>
      <c r="X25" s="4"/>
      <c r="Y25" s="4"/>
      <c r="Z25" s="6">
        <v>0</v>
      </c>
      <c r="AA25" s="4"/>
      <c r="AB25" s="4"/>
      <c r="AC25" s="1" t="s">
        <v>83</v>
      </c>
      <c r="AD25" s="1">
        <v>0</v>
      </c>
      <c r="AE25" s="1">
        <v>90000</v>
      </c>
      <c r="AF25" s="4" t="s">
        <v>84</v>
      </c>
      <c r="AG25" s="1" t="s">
        <v>60</v>
      </c>
      <c r="AH25" s="1"/>
      <c r="AI25" s="1" t="str">
        <f t="shared" si="0"/>
        <v>Watchlist</v>
      </c>
      <c r="AJ25" s="1" t="str">
        <f t="shared" si="1"/>
        <v>Scenario Only - No Close Date</v>
      </c>
      <c r="AK25" s="1" t="str">
        <f t="shared" si="2"/>
        <v>N</v>
      </c>
      <c r="AL25" s="5">
        <f>SUMIFS(SO_Mapping!$F:$F,SO_Mapping!$A:$A,$B25)</f>
        <v>0</v>
      </c>
      <c r="AM25" s="5" t="str">
        <f t="shared" si="3"/>
        <v>N</v>
      </c>
      <c r="AN25" s="5">
        <f t="shared" si="4"/>
        <v>90000</v>
      </c>
      <c r="AO25" s="1" t="str">
        <f t="shared" si="5"/>
        <v>No expected close date</v>
      </c>
      <c r="AP25" s="1" t="str">
        <f t="shared" si="6"/>
        <v/>
      </c>
      <c r="AQ25" s="1"/>
    </row>
    <row r="26" spans="1:43" ht="42">
      <c r="A26" s="1">
        <v>30</v>
      </c>
      <c r="B26" s="1" t="s">
        <v>171</v>
      </c>
      <c r="C26" s="1" t="s">
        <v>170</v>
      </c>
      <c r="D26" s="1" t="s">
        <v>122</v>
      </c>
      <c r="E26" s="1" t="s">
        <v>106</v>
      </c>
      <c r="F26" s="1" t="s">
        <v>63</v>
      </c>
      <c r="G26" s="1" t="s">
        <v>108</v>
      </c>
      <c r="H26" s="1" t="s">
        <v>81</v>
      </c>
      <c r="I26" s="1" t="s">
        <v>50</v>
      </c>
      <c r="J26" s="4"/>
      <c r="K26" s="5">
        <v>90000</v>
      </c>
      <c r="L26" s="6">
        <v>0.9</v>
      </c>
      <c r="M26" s="5">
        <v>81000</v>
      </c>
      <c r="N26" s="1"/>
      <c r="O26" s="5"/>
      <c r="P26" s="5"/>
      <c r="Q26" s="5">
        <v>90000</v>
      </c>
      <c r="R26" s="1" t="s">
        <v>82</v>
      </c>
      <c r="S26" s="1" t="s">
        <v>81</v>
      </c>
      <c r="T26" s="1"/>
      <c r="U26" s="1"/>
      <c r="V26" s="1"/>
      <c r="W26" s="1" t="s">
        <v>56</v>
      </c>
      <c r="X26" s="4"/>
      <c r="Y26" s="4"/>
      <c r="Z26" s="6">
        <v>0</v>
      </c>
      <c r="AA26" s="4"/>
      <c r="AB26" s="4"/>
      <c r="AC26" s="1" t="s">
        <v>83</v>
      </c>
      <c r="AD26" s="1">
        <v>0</v>
      </c>
      <c r="AE26" s="1">
        <v>90000</v>
      </c>
      <c r="AF26" s="4" t="s">
        <v>84</v>
      </c>
      <c r="AG26" s="1" t="s">
        <v>60</v>
      </c>
      <c r="AH26" s="1"/>
      <c r="AI26" s="1" t="str">
        <f t="shared" si="0"/>
        <v>Watchlist</v>
      </c>
      <c r="AJ26" s="1" t="str">
        <f t="shared" si="1"/>
        <v>Scenario Only - No Close Date</v>
      </c>
      <c r="AK26" s="1" t="str">
        <f t="shared" si="2"/>
        <v>N</v>
      </c>
      <c r="AL26" s="5">
        <f>SUMIFS(SO_Mapping!$F:$F,SO_Mapping!$A:$A,$B26)</f>
        <v>0</v>
      </c>
      <c r="AM26" s="5" t="str">
        <f t="shared" si="3"/>
        <v>N</v>
      </c>
      <c r="AN26" s="5">
        <f t="shared" si="4"/>
        <v>90000</v>
      </c>
      <c r="AO26" s="1" t="str">
        <f t="shared" si="5"/>
        <v>No expected close date</v>
      </c>
      <c r="AP26" s="1" t="str">
        <f t="shared" si="6"/>
        <v/>
      </c>
      <c r="AQ26" s="1"/>
    </row>
    <row r="27" spans="1:43" ht="42">
      <c r="A27" s="1">
        <v>31</v>
      </c>
      <c r="B27" s="1" t="s">
        <v>172</v>
      </c>
      <c r="C27" s="1" t="s">
        <v>170</v>
      </c>
      <c r="D27" s="1" t="s">
        <v>122</v>
      </c>
      <c r="E27" s="1" t="s">
        <v>106</v>
      </c>
      <c r="F27" s="1" t="s">
        <v>47</v>
      </c>
      <c r="G27" s="1" t="s">
        <v>108</v>
      </c>
      <c r="H27" s="1" t="s">
        <v>81</v>
      </c>
      <c r="I27" s="1" t="s">
        <v>50</v>
      </c>
      <c r="J27" s="4"/>
      <c r="K27" s="5">
        <v>90000</v>
      </c>
      <c r="L27" s="6">
        <v>0.9</v>
      </c>
      <c r="M27" s="5">
        <v>81000</v>
      </c>
      <c r="N27" s="1"/>
      <c r="O27" s="5"/>
      <c r="P27" s="5"/>
      <c r="Q27" s="5">
        <v>90000</v>
      </c>
      <c r="R27" s="1" t="s">
        <v>82</v>
      </c>
      <c r="S27" s="1" t="s">
        <v>81</v>
      </c>
      <c r="T27" s="1"/>
      <c r="U27" s="1"/>
      <c r="V27" s="1"/>
      <c r="W27" s="1" t="s">
        <v>56</v>
      </c>
      <c r="X27" s="4"/>
      <c r="Y27" s="4"/>
      <c r="Z27" s="6">
        <v>0</v>
      </c>
      <c r="AA27" s="4"/>
      <c r="AB27" s="4"/>
      <c r="AC27" s="1" t="s">
        <v>83</v>
      </c>
      <c r="AD27" s="1">
        <v>0</v>
      </c>
      <c r="AE27" s="1">
        <v>90000</v>
      </c>
      <c r="AF27" s="4" t="s">
        <v>84</v>
      </c>
      <c r="AG27" s="1" t="s">
        <v>60</v>
      </c>
      <c r="AH27" s="1"/>
      <c r="AI27" s="1" t="str">
        <f t="shared" si="0"/>
        <v>Watchlist</v>
      </c>
      <c r="AJ27" s="1" t="str">
        <f t="shared" si="1"/>
        <v>Scenario Only - No Close Date</v>
      </c>
      <c r="AK27" s="1" t="str">
        <f t="shared" si="2"/>
        <v>N</v>
      </c>
      <c r="AL27" s="5">
        <f>SUMIFS(SO_Mapping!$F:$F,SO_Mapping!$A:$A,$B27)</f>
        <v>0</v>
      </c>
      <c r="AM27" s="5" t="str">
        <f t="shared" si="3"/>
        <v>N</v>
      </c>
      <c r="AN27" s="5">
        <f t="shared" si="4"/>
        <v>90000</v>
      </c>
      <c r="AO27" s="1" t="str">
        <f t="shared" si="5"/>
        <v>No expected close date</v>
      </c>
      <c r="AP27" s="1" t="str">
        <f t="shared" si="6"/>
        <v/>
      </c>
      <c r="AQ27" s="1"/>
    </row>
    <row r="28" spans="1:43" ht="42">
      <c r="A28" s="1">
        <v>32</v>
      </c>
      <c r="B28" s="1" t="s">
        <v>173</v>
      </c>
      <c r="C28" s="1" t="s">
        <v>174</v>
      </c>
      <c r="D28" s="1" t="s">
        <v>175</v>
      </c>
      <c r="E28" s="1" t="s">
        <v>106</v>
      </c>
      <c r="F28" s="1" t="s">
        <v>69</v>
      </c>
      <c r="G28" s="1" t="s">
        <v>108</v>
      </c>
      <c r="H28" s="1" t="s">
        <v>49</v>
      </c>
      <c r="I28" s="1" t="s">
        <v>50</v>
      </c>
      <c r="J28" s="4" t="s">
        <v>164</v>
      </c>
      <c r="K28" s="5">
        <v>90000</v>
      </c>
      <c r="L28" s="6">
        <v>0.9</v>
      </c>
      <c r="M28" s="5">
        <v>81000</v>
      </c>
      <c r="N28" s="1" t="s">
        <v>176</v>
      </c>
      <c r="O28" s="5">
        <v>102846.84</v>
      </c>
      <c r="P28" s="5" t="s">
        <v>164</v>
      </c>
      <c r="Q28" s="5"/>
      <c r="R28" s="1" t="s">
        <v>177</v>
      </c>
      <c r="S28" s="1" t="s">
        <v>101</v>
      </c>
      <c r="T28" s="1"/>
      <c r="U28" s="1"/>
      <c r="V28" s="1"/>
      <c r="W28" s="1" t="s">
        <v>56</v>
      </c>
      <c r="X28" s="4" t="s">
        <v>164</v>
      </c>
      <c r="Y28" s="4" t="s">
        <v>167</v>
      </c>
      <c r="Z28" s="6">
        <v>0</v>
      </c>
      <c r="AA28" s="4"/>
      <c r="AB28" s="4" t="s">
        <v>167</v>
      </c>
      <c r="AC28" s="1" t="s">
        <v>58</v>
      </c>
      <c r="AD28" s="1">
        <v>102846.84</v>
      </c>
      <c r="AE28" s="1">
        <v>0</v>
      </c>
      <c r="AF28" s="4" t="s">
        <v>59</v>
      </c>
      <c r="AG28" s="1" t="s">
        <v>60</v>
      </c>
      <c r="AH28" s="1"/>
      <c r="AI28" s="1" t="str">
        <f t="shared" si="0"/>
        <v>Converted/Partially Converted</v>
      </c>
      <c r="AJ28" s="1" t="str">
        <f t="shared" si="1"/>
        <v>Not Eligible - SO Mapping Review</v>
      </c>
      <c r="AK28" s="1" t="str">
        <f t="shared" si="2"/>
        <v>N</v>
      </c>
      <c r="AL28" s="5">
        <f>SUMIFS(SO_Mapping!$F:$F,SO_Mapping!$A:$A,$B28)</f>
        <v>0</v>
      </c>
      <c r="AM28" s="5" t="str">
        <f t="shared" si="3"/>
        <v>Y</v>
      </c>
      <c r="AN28" s="5">
        <f t="shared" si="4"/>
        <v>90000</v>
      </c>
      <c r="AO28" s="1" t="str">
        <f t="shared" si="5"/>
        <v>SO mapping must be resolved</v>
      </c>
      <c r="AP28" s="1" t="str">
        <f t="shared" si="6"/>
        <v/>
      </c>
      <c r="AQ28" s="1"/>
    </row>
    <row r="29" spans="1:43" ht="42">
      <c r="A29" s="1">
        <v>33</v>
      </c>
      <c r="B29" s="1" t="s">
        <v>178</v>
      </c>
      <c r="C29" s="1" t="s">
        <v>174</v>
      </c>
      <c r="D29" s="1" t="s">
        <v>175</v>
      </c>
      <c r="E29" s="1" t="s">
        <v>106</v>
      </c>
      <c r="F29" s="1" t="s">
        <v>69</v>
      </c>
      <c r="G29" s="1" t="s">
        <v>108</v>
      </c>
      <c r="H29" s="1" t="s">
        <v>179</v>
      </c>
      <c r="I29" s="1" t="s">
        <v>50</v>
      </c>
      <c r="J29" s="4"/>
      <c r="K29" s="5">
        <v>90000</v>
      </c>
      <c r="L29" s="6">
        <v>0.9</v>
      </c>
      <c r="M29" s="5">
        <v>81000</v>
      </c>
      <c r="N29" s="1"/>
      <c r="O29" s="5"/>
      <c r="P29" s="5"/>
      <c r="Q29" s="5">
        <v>90000</v>
      </c>
      <c r="R29" s="1" t="s">
        <v>82</v>
      </c>
      <c r="S29" s="1" t="s">
        <v>179</v>
      </c>
      <c r="T29" s="1"/>
      <c r="U29" s="1"/>
      <c r="V29" s="1"/>
      <c r="W29" s="1" t="s">
        <v>56</v>
      </c>
      <c r="X29" s="4"/>
      <c r="Y29" s="4"/>
      <c r="Z29" s="6">
        <v>0</v>
      </c>
      <c r="AA29" s="4"/>
      <c r="AB29" s="4"/>
      <c r="AC29" s="1" t="s">
        <v>83</v>
      </c>
      <c r="AD29" s="1">
        <v>0</v>
      </c>
      <c r="AE29" s="1">
        <v>90000</v>
      </c>
      <c r="AF29" s="4" t="s">
        <v>84</v>
      </c>
      <c r="AG29" s="1" t="s">
        <v>60</v>
      </c>
      <c r="AH29" s="1"/>
      <c r="AI29" s="1" t="str">
        <f t="shared" si="0"/>
        <v>Lost</v>
      </c>
      <c r="AJ29" s="1" t="str">
        <f t="shared" si="1"/>
        <v>Not Eligible - Lost</v>
      </c>
      <c r="AK29" s="1" t="str">
        <f t="shared" si="2"/>
        <v>N</v>
      </c>
      <c r="AL29" s="5">
        <f>SUMIFS(SO_Mapping!$F:$F,SO_Mapping!$A:$A,$B29)</f>
        <v>0</v>
      </c>
      <c r="AM29" s="5" t="str">
        <f t="shared" si="3"/>
        <v>N</v>
      </c>
      <c r="AN29" s="5">
        <f t="shared" si="4"/>
        <v>90000</v>
      </c>
      <c r="AO29" s="1" t="str">
        <f t="shared" si="5"/>
        <v>No expected close date</v>
      </c>
      <c r="AP29" s="1" t="str">
        <f t="shared" si="6"/>
        <v/>
      </c>
      <c r="AQ29" s="1"/>
    </row>
    <row r="30" spans="1:43" ht="42">
      <c r="A30" s="1">
        <v>34</v>
      </c>
      <c r="B30" s="1" t="s">
        <v>180</v>
      </c>
      <c r="C30" s="1" t="s">
        <v>174</v>
      </c>
      <c r="D30" s="1" t="s">
        <v>175</v>
      </c>
      <c r="E30" s="1" t="s">
        <v>106</v>
      </c>
      <c r="F30" s="1" t="s">
        <v>63</v>
      </c>
      <c r="G30" s="1" t="s">
        <v>108</v>
      </c>
      <c r="H30" s="1" t="s">
        <v>81</v>
      </c>
      <c r="I30" s="1" t="s">
        <v>50</v>
      </c>
      <c r="J30" s="4"/>
      <c r="K30" s="5">
        <v>90000</v>
      </c>
      <c r="L30" s="6">
        <v>0.9</v>
      </c>
      <c r="M30" s="5">
        <v>81000</v>
      </c>
      <c r="N30" s="1"/>
      <c r="O30" s="5"/>
      <c r="P30" s="5"/>
      <c r="Q30" s="5">
        <v>90000</v>
      </c>
      <c r="R30" s="1" t="s">
        <v>82</v>
      </c>
      <c r="S30" s="1" t="s">
        <v>81</v>
      </c>
      <c r="T30" s="1"/>
      <c r="U30" s="1"/>
      <c r="V30" s="1"/>
      <c r="W30" s="1" t="s">
        <v>56</v>
      </c>
      <c r="X30" s="4"/>
      <c r="Y30" s="4"/>
      <c r="Z30" s="6">
        <v>0</v>
      </c>
      <c r="AA30" s="4"/>
      <c r="AB30" s="4"/>
      <c r="AC30" s="1" t="s">
        <v>83</v>
      </c>
      <c r="AD30" s="1">
        <v>0</v>
      </c>
      <c r="AE30" s="1">
        <v>90000</v>
      </c>
      <c r="AF30" s="4" t="s">
        <v>84</v>
      </c>
      <c r="AG30" s="1" t="s">
        <v>60</v>
      </c>
      <c r="AH30" s="1"/>
      <c r="AI30" s="1" t="str">
        <f t="shared" si="0"/>
        <v>Watchlist</v>
      </c>
      <c r="AJ30" s="1" t="str">
        <f t="shared" si="1"/>
        <v>Scenario Only - No Close Date</v>
      </c>
      <c r="AK30" s="1" t="str">
        <f t="shared" si="2"/>
        <v>N</v>
      </c>
      <c r="AL30" s="5">
        <f>SUMIFS(SO_Mapping!$F:$F,SO_Mapping!$A:$A,$B30)</f>
        <v>0</v>
      </c>
      <c r="AM30" s="5" t="str">
        <f t="shared" si="3"/>
        <v>N</v>
      </c>
      <c r="AN30" s="5">
        <f t="shared" si="4"/>
        <v>90000</v>
      </c>
      <c r="AO30" s="1" t="str">
        <f t="shared" si="5"/>
        <v>No expected close date</v>
      </c>
      <c r="AP30" s="1" t="str">
        <f t="shared" si="6"/>
        <v/>
      </c>
      <c r="AQ30" s="1"/>
    </row>
    <row r="31" spans="1:43" ht="42">
      <c r="A31" s="1">
        <v>35</v>
      </c>
      <c r="B31" s="1" t="s">
        <v>181</v>
      </c>
      <c r="C31" s="1" t="s">
        <v>174</v>
      </c>
      <c r="D31" s="1" t="s">
        <v>175</v>
      </c>
      <c r="E31" s="1" t="s">
        <v>106</v>
      </c>
      <c r="F31" s="1" t="s">
        <v>47</v>
      </c>
      <c r="G31" s="1" t="s">
        <v>108</v>
      </c>
      <c r="H31" s="1" t="s">
        <v>81</v>
      </c>
      <c r="I31" s="1" t="s">
        <v>50</v>
      </c>
      <c r="J31" s="4"/>
      <c r="K31" s="5">
        <v>90000</v>
      </c>
      <c r="L31" s="6">
        <v>0.9</v>
      </c>
      <c r="M31" s="5">
        <v>81000</v>
      </c>
      <c r="N31" s="1"/>
      <c r="O31" s="5"/>
      <c r="P31" s="5"/>
      <c r="Q31" s="5">
        <v>90000</v>
      </c>
      <c r="R31" s="1" t="s">
        <v>82</v>
      </c>
      <c r="S31" s="1" t="s">
        <v>81</v>
      </c>
      <c r="T31" s="1"/>
      <c r="U31" s="1"/>
      <c r="V31" s="1"/>
      <c r="W31" s="1" t="s">
        <v>56</v>
      </c>
      <c r="X31" s="4"/>
      <c r="Y31" s="4"/>
      <c r="Z31" s="6">
        <v>0</v>
      </c>
      <c r="AA31" s="4"/>
      <c r="AB31" s="4"/>
      <c r="AC31" s="1" t="s">
        <v>83</v>
      </c>
      <c r="AD31" s="1">
        <v>0</v>
      </c>
      <c r="AE31" s="1">
        <v>90000</v>
      </c>
      <c r="AF31" s="4" t="s">
        <v>84</v>
      </c>
      <c r="AG31" s="1" t="s">
        <v>60</v>
      </c>
      <c r="AH31" s="1"/>
      <c r="AI31" s="1" t="str">
        <f t="shared" si="0"/>
        <v>Watchlist</v>
      </c>
      <c r="AJ31" s="1" t="str">
        <f t="shared" si="1"/>
        <v>Scenario Only - No Close Date</v>
      </c>
      <c r="AK31" s="1" t="str">
        <f t="shared" si="2"/>
        <v>N</v>
      </c>
      <c r="AL31" s="5">
        <f>SUMIFS(SO_Mapping!$F:$F,SO_Mapping!$A:$A,$B31)</f>
        <v>0</v>
      </c>
      <c r="AM31" s="5" t="str">
        <f t="shared" si="3"/>
        <v>N</v>
      </c>
      <c r="AN31" s="5">
        <f t="shared" si="4"/>
        <v>90000</v>
      </c>
      <c r="AO31" s="1" t="str">
        <f t="shared" si="5"/>
        <v>No expected close date</v>
      </c>
      <c r="AP31" s="1" t="str">
        <f t="shared" si="6"/>
        <v/>
      </c>
      <c r="AQ31" s="1"/>
    </row>
    <row r="32" spans="1:43" ht="42">
      <c r="A32" s="1">
        <v>36</v>
      </c>
      <c r="B32" s="1" t="s">
        <v>182</v>
      </c>
      <c r="C32" s="1" t="s">
        <v>139</v>
      </c>
      <c r="D32" s="1" t="s">
        <v>140</v>
      </c>
      <c r="E32" s="1" t="s">
        <v>96</v>
      </c>
      <c r="F32" s="1" t="s">
        <v>69</v>
      </c>
      <c r="G32" s="1" t="s">
        <v>97</v>
      </c>
      <c r="H32" s="1" t="s">
        <v>49</v>
      </c>
      <c r="I32" s="1" t="s">
        <v>50</v>
      </c>
      <c r="J32" s="4" t="s">
        <v>183</v>
      </c>
      <c r="K32" s="5">
        <v>85000</v>
      </c>
      <c r="L32" s="6">
        <v>0.9</v>
      </c>
      <c r="M32" s="5">
        <v>76500</v>
      </c>
      <c r="N32" s="1" t="s">
        <v>184</v>
      </c>
      <c r="O32" s="5">
        <v>33908.75</v>
      </c>
      <c r="P32" s="5" t="s">
        <v>183</v>
      </c>
      <c r="Q32" s="5">
        <v>51091</v>
      </c>
      <c r="R32" s="1" t="s">
        <v>185</v>
      </c>
      <c r="S32" s="1" t="s">
        <v>54</v>
      </c>
      <c r="T32" s="1"/>
      <c r="U32" s="1"/>
      <c r="V32" s="1"/>
      <c r="W32" s="1" t="s">
        <v>56</v>
      </c>
      <c r="X32" s="4" t="s">
        <v>183</v>
      </c>
      <c r="Y32" s="4" t="s">
        <v>186</v>
      </c>
      <c r="Z32" s="6">
        <v>0</v>
      </c>
      <c r="AA32" s="4"/>
      <c r="AB32" s="4" t="s">
        <v>186</v>
      </c>
      <c r="AC32" s="1" t="s">
        <v>58</v>
      </c>
      <c r="AD32" s="1">
        <v>33908.75</v>
      </c>
      <c r="AE32" s="1">
        <v>51091.25</v>
      </c>
      <c r="AF32" s="4" t="s">
        <v>59</v>
      </c>
      <c r="AG32" s="1" t="s">
        <v>60</v>
      </c>
      <c r="AH32" s="1"/>
      <c r="AI32" s="1" t="str">
        <f t="shared" si="0"/>
        <v>Converted/Partially Converted</v>
      </c>
      <c r="AJ32" s="1" t="str">
        <f t="shared" si="1"/>
        <v>Eligible</v>
      </c>
      <c r="AK32" s="1" t="str">
        <f t="shared" si="2"/>
        <v>Y</v>
      </c>
      <c r="AL32" s="5">
        <f>SUMIFS(SO_Mapping!$F:$F,SO_Mapping!$A:$A,$B32)</f>
        <v>33908.75</v>
      </c>
      <c r="AM32" s="5" t="str">
        <f t="shared" si="3"/>
        <v>N</v>
      </c>
      <c r="AN32" s="5">
        <f t="shared" si="4"/>
        <v>51091.25</v>
      </c>
      <c r="AO32" s="1" t="str">
        <f t="shared" si="5"/>
        <v>Cash eligible</v>
      </c>
      <c r="AP32" s="1" t="str">
        <f t="shared" si="6"/>
        <v>2026-03-13</v>
      </c>
      <c r="AQ32" s="1"/>
    </row>
    <row r="33" spans="1:43" ht="42">
      <c r="A33" s="1">
        <v>37</v>
      </c>
      <c r="B33" s="1" t="s">
        <v>187</v>
      </c>
      <c r="C33" s="1" t="s">
        <v>188</v>
      </c>
      <c r="D33" s="1" t="s">
        <v>125</v>
      </c>
      <c r="E33" s="1" t="s">
        <v>126</v>
      </c>
      <c r="F33" s="1" t="s">
        <v>63</v>
      </c>
      <c r="G33" s="1" t="s">
        <v>48</v>
      </c>
      <c r="H33" s="1" t="s">
        <v>81</v>
      </c>
      <c r="I33" s="1" t="s">
        <v>50</v>
      </c>
      <c r="J33" s="4"/>
      <c r="K33" s="5">
        <v>150000</v>
      </c>
      <c r="L33" s="6">
        <v>0.5</v>
      </c>
      <c r="M33" s="5">
        <v>75000</v>
      </c>
      <c r="N33" s="1"/>
      <c r="O33" s="5"/>
      <c r="P33" s="5"/>
      <c r="Q33" s="5">
        <v>150000</v>
      </c>
      <c r="R33" s="1" t="s">
        <v>82</v>
      </c>
      <c r="S33" s="1" t="s">
        <v>81</v>
      </c>
      <c r="T33" s="1"/>
      <c r="U33" s="1"/>
      <c r="V33" s="1"/>
      <c r="W33" s="1" t="s">
        <v>56</v>
      </c>
      <c r="X33" s="4"/>
      <c r="Y33" s="4"/>
      <c r="Z33" s="6">
        <v>0</v>
      </c>
      <c r="AA33" s="4"/>
      <c r="AB33" s="4"/>
      <c r="AC33" s="1" t="s">
        <v>83</v>
      </c>
      <c r="AD33" s="1">
        <v>0</v>
      </c>
      <c r="AE33" s="1">
        <v>150000</v>
      </c>
      <c r="AF33" s="4" t="s">
        <v>84</v>
      </c>
      <c r="AG33" s="1" t="s">
        <v>60</v>
      </c>
      <c r="AH33" s="1"/>
      <c r="AI33" s="1" t="str">
        <f t="shared" si="0"/>
        <v>Watchlist</v>
      </c>
      <c r="AJ33" s="1" t="str">
        <f t="shared" si="1"/>
        <v>Scenario Only - No Close Date</v>
      </c>
      <c r="AK33" s="1" t="str">
        <f t="shared" si="2"/>
        <v>N</v>
      </c>
      <c r="AL33" s="5">
        <f>SUMIFS(SO_Mapping!$F:$F,SO_Mapping!$A:$A,$B33)</f>
        <v>0</v>
      </c>
      <c r="AM33" s="5" t="str">
        <f t="shared" si="3"/>
        <v>N</v>
      </c>
      <c r="AN33" s="5">
        <f t="shared" si="4"/>
        <v>150000</v>
      </c>
      <c r="AO33" s="1" t="str">
        <f t="shared" si="5"/>
        <v>No expected close date</v>
      </c>
      <c r="AP33" s="1" t="str">
        <f t="shared" si="6"/>
        <v/>
      </c>
      <c r="AQ33" s="1"/>
    </row>
    <row r="34" spans="1:43" ht="42">
      <c r="A34" s="1">
        <v>38</v>
      </c>
      <c r="B34" s="1" t="s">
        <v>189</v>
      </c>
      <c r="C34" s="1" t="s">
        <v>190</v>
      </c>
      <c r="D34" s="1" t="s">
        <v>191</v>
      </c>
      <c r="E34" s="1" t="s">
        <v>118</v>
      </c>
      <c r="F34" s="1" t="s">
        <v>63</v>
      </c>
      <c r="G34" s="1" t="s">
        <v>108</v>
      </c>
      <c r="H34" s="1" t="s">
        <v>81</v>
      </c>
      <c r="I34" s="1" t="s">
        <v>50</v>
      </c>
      <c r="J34" s="4"/>
      <c r="K34" s="5">
        <v>150000</v>
      </c>
      <c r="L34" s="6">
        <v>0.5</v>
      </c>
      <c r="M34" s="5">
        <v>75000</v>
      </c>
      <c r="N34" s="1"/>
      <c r="O34" s="5"/>
      <c r="P34" s="5"/>
      <c r="Q34" s="5">
        <v>150000</v>
      </c>
      <c r="R34" s="1" t="s">
        <v>82</v>
      </c>
      <c r="S34" s="1" t="s">
        <v>81</v>
      </c>
      <c r="T34" s="1"/>
      <c r="U34" s="1"/>
      <c r="V34" s="1"/>
      <c r="W34" s="1" t="s">
        <v>56</v>
      </c>
      <c r="X34" s="4"/>
      <c r="Y34" s="4"/>
      <c r="Z34" s="6">
        <v>0</v>
      </c>
      <c r="AA34" s="4"/>
      <c r="AB34" s="4"/>
      <c r="AC34" s="1" t="s">
        <v>83</v>
      </c>
      <c r="AD34" s="1">
        <v>0</v>
      </c>
      <c r="AE34" s="1">
        <v>150000</v>
      </c>
      <c r="AF34" s="4" t="s">
        <v>84</v>
      </c>
      <c r="AG34" s="1" t="s">
        <v>60</v>
      </c>
      <c r="AH34" s="1"/>
      <c r="AI34" s="1" t="str">
        <f t="shared" ref="AI34:AI65" si="7">IF(OR($H34="Lost",$H34="Dead"),"Lost",IF($I34&lt;&gt;"Y","Excluded",IF($N34&lt;&gt;"","Converted/Partially Converted",IF($J34="","Watchlist","Active"))))</f>
        <v>Watchlist</v>
      </c>
      <c r="AJ34" s="1" t="str">
        <f t="shared" ref="AJ34:AJ65" si="8">IF($I34&lt;&gt;"Y","Not Eligible - Excluded",IF(OR($H34="Lost",$H34="Dead"),"Not Eligible - Lost",IF($J34="","Scenario Only - No Close Date",IF($X34="","Scenario Only - No Ship Date",IF($Y34="","Scenario Only - No Cash Date",IF($AM34="Y","Not Eligible - SO Mapping Review","Eligible"))))))</f>
        <v>Scenario Only - No Close Date</v>
      </c>
      <c r="AK34" s="1" t="str">
        <f t="shared" ref="AK34:AK65" si="9">IF($AJ34="Eligible","Y","N")</f>
        <v>N</v>
      </c>
      <c r="AL34" s="5">
        <f>SUMIFS(SO_Mapping!$F:$F,SO_Mapping!$A:$A,$B34)</f>
        <v>0</v>
      </c>
      <c r="AM34" s="5" t="str">
        <f t="shared" ref="AM34:AM65" si="10">IF(AND($N34&lt;&gt;"",$AL34=0),"Y",IF(ABS($O34-$AL34)&gt;1,"Y","N"))</f>
        <v>N</v>
      </c>
      <c r="AN34" s="5">
        <f t="shared" ref="AN34:AN65" si="11">MAX(0,$K34-$AL34)</f>
        <v>150000</v>
      </c>
      <c r="AO34" s="1" t="str">
        <f t="shared" ref="AO34:AO65" si="12">IF($AK34="Y","Cash eligible",IF($I34&lt;&gt;"Y","Excluded by control flag",IF($J34="","No expected close date",IF($X34="","No ship/invoice timing",IF($Y34="","No cash timing",IF($AM34="Y","SO mapping must be resolved","Review required"))))))</f>
        <v>No expected close date</v>
      </c>
      <c r="AP34" s="1" t="str">
        <f t="shared" ref="AP34:AP65" si="13">IF($AK34="Y",TEXT($Y34,"yyyy-mm-dd"),"")</f>
        <v/>
      </c>
      <c r="AQ34" s="1"/>
    </row>
    <row r="35" spans="1:43" ht="42">
      <c r="A35" s="1">
        <v>39</v>
      </c>
      <c r="B35" s="1" t="s">
        <v>192</v>
      </c>
      <c r="C35" s="1" t="s">
        <v>193</v>
      </c>
      <c r="D35" s="1" t="s">
        <v>194</v>
      </c>
      <c r="E35" s="1" t="s">
        <v>96</v>
      </c>
      <c r="F35" s="1" t="s">
        <v>69</v>
      </c>
      <c r="G35" s="1" t="s">
        <v>97</v>
      </c>
      <c r="H35" s="1" t="s">
        <v>49</v>
      </c>
      <c r="I35" s="1" t="s">
        <v>50</v>
      </c>
      <c r="J35" s="4" t="s">
        <v>195</v>
      </c>
      <c r="K35" s="5">
        <v>75000</v>
      </c>
      <c r="L35" s="6">
        <v>0.9</v>
      </c>
      <c r="M35" s="5">
        <v>67500</v>
      </c>
      <c r="N35" s="1" t="s">
        <v>196</v>
      </c>
      <c r="O35" s="5">
        <v>27122</v>
      </c>
      <c r="P35" s="5" t="s">
        <v>195</v>
      </c>
      <c r="Q35" s="5">
        <v>47878</v>
      </c>
      <c r="R35" s="1" t="s">
        <v>197</v>
      </c>
      <c r="S35" s="1" t="s">
        <v>54</v>
      </c>
      <c r="T35" s="1"/>
      <c r="U35" s="1"/>
      <c r="V35" s="1"/>
      <c r="W35" s="1" t="s">
        <v>56</v>
      </c>
      <c r="X35" s="4" t="s">
        <v>195</v>
      </c>
      <c r="Y35" s="4" t="s">
        <v>198</v>
      </c>
      <c r="Z35" s="6">
        <v>0</v>
      </c>
      <c r="AA35" s="4"/>
      <c r="AB35" s="4" t="s">
        <v>198</v>
      </c>
      <c r="AC35" s="1" t="s">
        <v>58</v>
      </c>
      <c r="AD35" s="1">
        <v>27122</v>
      </c>
      <c r="AE35" s="1">
        <v>47878</v>
      </c>
      <c r="AF35" s="4" t="s">
        <v>59</v>
      </c>
      <c r="AG35" s="1" t="s">
        <v>60</v>
      </c>
      <c r="AH35" s="1"/>
      <c r="AI35" s="1" t="str">
        <f t="shared" si="7"/>
        <v>Converted/Partially Converted</v>
      </c>
      <c r="AJ35" s="1" t="str">
        <f t="shared" si="8"/>
        <v>Not Eligible - SO Mapping Review</v>
      </c>
      <c r="AK35" s="1" t="str">
        <f t="shared" si="9"/>
        <v>N</v>
      </c>
      <c r="AL35" s="5">
        <f>SUMIFS(SO_Mapping!$F:$F,SO_Mapping!$A:$A,$B35)</f>
        <v>0</v>
      </c>
      <c r="AM35" s="5" t="str">
        <f t="shared" si="10"/>
        <v>Y</v>
      </c>
      <c r="AN35" s="5">
        <f t="shared" si="11"/>
        <v>75000</v>
      </c>
      <c r="AO35" s="1" t="str">
        <f t="shared" si="12"/>
        <v>SO mapping must be resolved</v>
      </c>
      <c r="AP35" s="1" t="str">
        <f t="shared" si="13"/>
        <v/>
      </c>
      <c r="AQ35" s="1"/>
    </row>
    <row r="36" spans="1:43" ht="42">
      <c r="A36" s="1">
        <v>40</v>
      </c>
      <c r="B36" s="1" t="s">
        <v>199</v>
      </c>
      <c r="C36" s="1" t="s">
        <v>147</v>
      </c>
      <c r="D36" s="1" t="s">
        <v>148</v>
      </c>
      <c r="E36" s="1" t="s">
        <v>118</v>
      </c>
      <c r="F36" s="1" t="s">
        <v>47</v>
      </c>
      <c r="G36" s="1" t="s">
        <v>48</v>
      </c>
      <c r="H36" s="1" t="s">
        <v>81</v>
      </c>
      <c r="I36" s="1" t="s">
        <v>50</v>
      </c>
      <c r="J36" s="4"/>
      <c r="K36" s="5">
        <v>120000</v>
      </c>
      <c r="L36" s="6">
        <v>0.5</v>
      </c>
      <c r="M36" s="5">
        <v>60000</v>
      </c>
      <c r="N36" s="1"/>
      <c r="O36" s="5"/>
      <c r="P36" s="5"/>
      <c r="Q36" s="5">
        <v>120000</v>
      </c>
      <c r="R36" s="1" t="s">
        <v>82</v>
      </c>
      <c r="S36" s="1" t="s">
        <v>81</v>
      </c>
      <c r="T36" s="1"/>
      <c r="U36" s="1"/>
      <c r="V36" s="1"/>
      <c r="W36" s="1" t="s">
        <v>56</v>
      </c>
      <c r="X36" s="4"/>
      <c r="Y36" s="4"/>
      <c r="Z36" s="6">
        <v>0</v>
      </c>
      <c r="AA36" s="4"/>
      <c r="AB36" s="4"/>
      <c r="AC36" s="1" t="s">
        <v>83</v>
      </c>
      <c r="AD36" s="1">
        <v>0</v>
      </c>
      <c r="AE36" s="1">
        <v>120000</v>
      </c>
      <c r="AF36" s="4" t="s">
        <v>84</v>
      </c>
      <c r="AG36" s="1" t="s">
        <v>60</v>
      </c>
      <c r="AH36" s="1"/>
      <c r="AI36" s="1" t="str">
        <f t="shared" si="7"/>
        <v>Watchlist</v>
      </c>
      <c r="AJ36" s="1" t="str">
        <f t="shared" si="8"/>
        <v>Scenario Only - No Close Date</v>
      </c>
      <c r="AK36" s="1" t="str">
        <f t="shared" si="9"/>
        <v>N</v>
      </c>
      <c r="AL36" s="5">
        <f>SUMIFS(SO_Mapping!$F:$F,SO_Mapping!$A:$A,$B36)</f>
        <v>0</v>
      </c>
      <c r="AM36" s="5" t="str">
        <f t="shared" si="10"/>
        <v>N</v>
      </c>
      <c r="AN36" s="5">
        <f t="shared" si="11"/>
        <v>120000</v>
      </c>
      <c r="AO36" s="1" t="str">
        <f t="shared" si="12"/>
        <v>No expected close date</v>
      </c>
      <c r="AP36" s="1" t="str">
        <f t="shared" si="13"/>
        <v/>
      </c>
      <c r="AQ36" s="1"/>
    </row>
    <row r="37" spans="1:43" ht="42">
      <c r="A37" s="1">
        <v>41</v>
      </c>
      <c r="B37" s="1" t="s">
        <v>200</v>
      </c>
      <c r="C37" s="1" t="s">
        <v>139</v>
      </c>
      <c r="D37" s="1" t="s">
        <v>140</v>
      </c>
      <c r="E37" s="1" t="s">
        <v>96</v>
      </c>
      <c r="F37" s="1" t="s">
        <v>107</v>
      </c>
      <c r="G37" s="1" t="s">
        <v>97</v>
      </c>
      <c r="H37" s="1" t="s">
        <v>49</v>
      </c>
      <c r="I37" s="1" t="s">
        <v>50</v>
      </c>
      <c r="J37" s="4" t="s">
        <v>70</v>
      </c>
      <c r="K37" s="5">
        <v>60000</v>
      </c>
      <c r="L37" s="6">
        <v>0.85</v>
      </c>
      <c r="M37" s="5">
        <v>51000</v>
      </c>
      <c r="N37" s="1" t="s">
        <v>201</v>
      </c>
      <c r="O37" s="5">
        <v>61098</v>
      </c>
      <c r="P37" s="5" t="s">
        <v>70</v>
      </c>
      <c r="Q37" s="5"/>
      <c r="R37" s="1" t="s">
        <v>100</v>
      </c>
      <c r="S37" s="1" t="s">
        <v>101</v>
      </c>
      <c r="T37" s="1"/>
      <c r="U37" s="1"/>
      <c r="V37" s="1"/>
      <c r="W37" s="1" t="s">
        <v>56</v>
      </c>
      <c r="X37" s="4" t="s">
        <v>70</v>
      </c>
      <c r="Y37" s="4" t="s">
        <v>74</v>
      </c>
      <c r="Z37" s="6">
        <v>0</v>
      </c>
      <c r="AA37" s="4"/>
      <c r="AB37" s="4" t="s">
        <v>74</v>
      </c>
      <c r="AC37" s="1" t="s">
        <v>58</v>
      </c>
      <c r="AD37" s="1">
        <v>61098</v>
      </c>
      <c r="AE37" s="1">
        <v>0</v>
      </c>
      <c r="AF37" s="4" t="s">
        <v>59</v>
      </c>
      <c r="AG37" s="1" t="s">
        <v>60</v>
      </c>
      <c r="AH37" s="1"/>
      <c r="AI37" s="1" t="str">
        <f t="shared" si="7"/>
        <v>Converted/Partially Converted</v>
      </c>
      <c r="AJ37" s="1" t="str">
        <f t="shared" si="8"/>
        <v>Eligible</v>
      </c>
      <c r="AK37" s="1" t="str">
        <f t="shared" si="9"/>
        <v>Y</v>
      </c>
      <c r="AL37" s="5">
        <f>SUMIFS(SO_Mapping!$F:$F,SO_Mapping!$A:$A,$B37)</f>
        <v>61098</v>
      </c>
      <c r="AM37" s="5" t="str">
        <f t="shared" si="10"/>
        <v>N</v>
      </c>
      <c r="AN37" s="5">
        <f t="shared" si="11"/>
        <v>0</v>
      </c>
      <c r="AO37" s="1" t="str">
        <f t="shared" si="12"/>
        <v>Cash eligible</v>
      </c>
      <c r="AP37" s="1" t="str">
        <f t="shared" si="13"/>
        <v>2026-03-27</v>
      </c>
      <c r="AQ37" s="1"/>
    </row>
    <row r="38" spans="1:43" ht="42">
      <c r="A38" s="1">
        <v>42</v>
      </c>
      <c r="B38" s="1" t="s">
        <v>202</v>
      </c>
      <c r="C38" s="1" t="s">
        <v>203</v>
      </c>
      <c r="D38" s="1" t="s">
        <v>204</v>
      </c>
      <c r="E38" s="1" t="s">
        <v>106</v>
      </c>
      <c r="F38" s="1" t="s">
        <v>47</v>
      </c>
      <c r="G38" s="1" t="s">
        <v>108</v>
      </c>
      <c r="H38" s="1" t="s">
        <v>81</v>
      </c>
      <c r="I38" s="1" t="s">
        <v>50</v>
      </c>
      <c r="J38" s="4"/>
      <c r="K38" s="5">
        <v>200000</v>
      </c>
      <c r="L38" s="6">
        <v>0.25</v>
      </c>
      <c r="M38" s="5">
        <v>50000</v>
      </c>
      <c r="N38" s="1"/>
      <c r="O38" s="5"/>
      <c r="P38" s="5"/>
      <c r="Q38" s="5">
        <v>200000</v>
      </c>
      <c r="R38" s="1" t="s">
        <v>82</v>
      </c>
      <c r="S38" s="1" t="s">
        <v>81</v>
      </c>
      <c r="T38" s="1"/>
      <c r="U38" s="1"/>
      <c r="V38" s="1"/>
      <c r="W38" s="1" t="s">
        <v>56</v>
      </c>
      <c r="X38" s="4"/>
      <c r="Y38" s="4"/>
      <c r="Z38" s="6">
        <v>0</v>
      </c>
      <c r="AA38" s="4"/>
      <c r="AB38" s="4"/>
      <c r="AC38" s="1" t="s">
        <v>83</v>
      </c>
      <c r="AD38" s="1">
        <v>0</v>
      </c>
      <c r="AE38" s="1">
        <v>200000</v>
      </c>
      <c r="AF38" s="4" t="s">
        <v>84</v>
      </c>
      <c r="AG38" s="1" t="s">
        <v>60</v>
      </c>
      <c r="AH38" s="1"/>
      <c r="AI38" s="1" t="str">
        <f t="shared" si="7"/>
        <v>Watchlist</v>
      </c>
      <c r="AJ38" s="1" t="str">
        <f t="shared" si="8"/>
        <v>Scenario Only - No Close Date</v>
      </c>
      <c r="AK38" s="1" t="str">
        <f t="shared" si="9"/>
        <v>N</v>
      </c>
      <c r="AL38" s="5">
        <f>SUMIFS(SO_Mapping!$F:$F,SO_Mapping!$A:$A,$B38)</f>
        <v>0</v>
      </c>
      <c r="AM38" s="5" t="str">
        <f t="shared" si="10"/>
        <v>N</v>
      </c>
      <c r="AN38" s="5">
        <f t="shared" si="11"/>
        <v>200000</v>
      </c>
      <c r="AO38" s="1" t="str">
        <f t="shared" si="12"/>
        <v>No expected close date</v>
      </c>
      <c r="AP38" s="1" t="str">
        <f t="shared" si="13"/>
        <v/>
      </c>
      <c r="AQ38" s="1"/>
    </row>
    <row r="39" spans="1:43" ht="42">
      <c r="A39" s="1">
        <v>43</v>
      </c>
      <c r="B39" s="1" t="s">
        <v>205</v>
      </c>
      <c r="C39" s="1" t="s">
        <v>206</v>
      </c>
      <c r="D39" s="1" t="s">
        <v>163</v>
      </c>
      <c r="E39" s="1" t="s">
        <v>118</v>
      </c>
      <c r="F39" s="1" t="s">
        <v>69</v>
      </c>
      <c r="G39" s="1" t="s">
        <v>97</v>
      </c>
      <c r="H39" s="1" t="s">
        <v>81</v>
      </c>
      <c r="I39" s="1" t="s">
        <v>50</v>
      </c>
      <c r="J39" s="4"/>
      <c r="K39" s="5">
        <v>200000</v>
      </c>
      <c r="L39" s="6">
        <v>0.25</v>
      </c>
      <c r="M39" s="5">
        <v>50000</v>
      </c>
      <c r="N39" s="1"/>
      <c r="O39" s="5"/>
      <c r="P39" s="5"/>
      <c r="Q39" s="5">
        <v>200000</v>
      </c>
      <c r="R39" s="1" t="s">
        <v>82</v>
      </c>
      <c r="S39" s="1" t="s">
        <v>81</v>
      </c>
      <c r="T39" s="1"/>
      <c r="U39" s="1"/>
      <c r="V39" s="1"/>
      <c r="W39" s="1" t="s">
        <v>56</v>
      </c>
      <c r="X39" s="4"/>
      <c r="Y39" s="4"/>
      <c r="Z39" s="6">
        <v>0</v>
      </c>
      <c r="AA39" s="4"/>
      <c r="AB39" s="4"/>
      <c r="AC39" s="1" t="s">
        <v>83</v>
      </c>
      <c r="AD39" s="1">
        <v>0</v>
      </c>
      <c r="AE39" s="1">
        <v>200000</v>
      </c>
      <c r="AF39" s="4" t="s">
        <v>84</v>
      </c>
      <c r="AG39" s="1" t="s">
        <v>60</v>
      </c>
      <c r="AH39" s="1"/>
      <c r="AI39" s="1" t="str">
        <f t="shared" si="7"/>
        <v>Watchlist</v>
      </c>
      <c r="AJ39" s="1" t="str">
        <f t="shared" si="8"/>
        <v>Scenario Only - No Close Date</v>
      </c>
      <c r="AK39" s="1" t="str">
        <f t="shared" si="9"/>
        <v>N</v>
      </c>
      <c r="AL39" s="5">
        <f>SUMIFS(SO_Mapping!$F:$F,SO_Mapping!$A:$A,$B39)</f>
        <v>0</v>
      </c>
      <c r="AM39" s="5" t="str">
        <f t="shared" si="10"/>
        <v>N</v>
      </c>
      <c r="AN39" s="5">
        <f t="shared" si="11"/>
        <v>200000</v>
      </c>
      <c r="AO39" s="1" t="str">
        <f t="shared" si="12"/>
        <v>No expected close date</v>
      </c>
      <c r="AP39" s="1" t="str">
        <f t="shared" si="13"/>
        <v/>
      </c>
      <c r="AQ39" s="1"/>
    </row>
    <row r="40" spans="1:43" ht="42">
      <c r="A40" s="1">
        <v>44</v>
      </c>
      <c r="B40" s="1" t="s">
        <v>207</v>
      </c>
      <c r="C40" s="1" t="s">
        <v>208</v>
      </c>
      <c r="D40" s="1" t="s">
        <v>209</v>
      </c>
      <c r="E40" s="1" t="s">
        <v>118</v>
      </c>
      <c r="F40" s="1" t="s">
        <v>63</v>
      </c>
      <c r="G40" s="1" t="s">
        <v>97</v>
      </c>
      <c r="H40" s="1" t="s">
        <v>81</v>
      </c>
      <c r="I40" s="1" t="s">
        <v>50</v>
      </c>
      <c r="J40" s="4"/>
      <c r="K40" s="5">
        <v>50000</v>
      </c>
      <c r="L40" s="6">
        <v>0.85</v>
      </c>
      <c r="M40" s="5">
        <v>42500</v>
      </c>
      <c r="N40" s="1"/>
      <c r="O40" s="5"/>
      <c r="P40" s="5"/>
      <c r="Q40" s="5">
        <v>50000</v>
      </c>
      <c r="R40" s="1" t="s">
        <v>82</v>
      </c>
      <c r="S40" s="1" t="s">
        <v>81</v>
      </c>
      <c r="T40" s="1"/>
      <c r="U40" s="1"/>
      <c r="V40" s="1"/>
      <c r="W40" s="1" t="s">
        <v>56</v>
      </c>
      <c r="X40" s="4"/>
      <c r="Y40" s="4"/>
      <c r="Z40" s="6">
        <v>0</v>
      </c>
      <c r="AA40" s="4"/>
      <c r="AB40" s="4"/>
      <c r="AC40" s="1" t="s">
        <v>83</v>
      </c>
      <c r="AD40" s="1">
        <v>0</v>
      </c>
      <c r="AE40" s="1">
        <v>50000</v>
      </c>
      <c r="AF40" s="4" t="s">
        <v>84</v>
      </c>
      <c r="AG40" s="1" t="s">
        <v>60</v>
      </c>
      <c r="AH40" s="1"/>
      <c r="AI40" s="1" t="str">
        <f t="shared" si="7"/>
        <v>Watchlist</v>
      </c>
      <c r="AJ40" s="1" t="str">
        <f t="shared" si="8"/>
        <v>Scenario Only - No Close Date</v>
      </c>
      <c r="AK40" s="1" t="str">
        <f t="shared" si="9"/>
        <v>N</v>
      </c>
      <c r="AL40" s="5">
        <f>SUMIFS(SO_Mapping!$F:$F,SO_Mapping!$A:$A,$B40)</f>
        <v>0</v>
      </c>
      <c r="AM40" s="5" t="str">
        <f t="shared" si="10"/>
        <v>N</v>
      </c>
      <c r="AN40" s="5">
        <f t="shared" si="11"/>
        <v>50000</v>
      </c>
      <c r="AO40" s="1" t="str">
        <f t="shared" si="12"/>
        <v>No expected close date</v>
      </c>
      <c r="AP40" s="1" t="str">
        <f t="shared" si="13"/>
        <v/>
      </c>
      <c r="AQ40" s="1"/>
    </row>
    <row r="41" spans="1:43" ht="42">
      <c r="A41" s="1">
        <v>45</v>
      </c>
      <c r="B41" s="1" t="s">
        <v>210</v>
      </c>
      <c r="C41" s="1" t="s">
        <v>211</v>
      </c>
      <c r="D41" s="1" t="s">
        <v>209</v>
      </c>
      <c r="E41" s="1" t="s">
        <v>118</v>
      </c>
      <c r="F41" s="1" t="s">
        <v>63</v>
      </c>
      <c r="G41" s="1" t="s">
        <v>97</v>
      </c>
      <c r="H41" s="1" t="s">
        <v>81</v>
      </c>
      <c r="I41" s="1" t="s">
        <v>50</v>
      </c>
      <c r="J41" s="4"/>
      <c r="K41" s="5">
        <v>50000</v>
      </c>
      <c r="L41" s="6">
        <v>0.85</v>
      </c>
      <c r="M41" s="5">
        <v>42500</v>
      </c>
      <c r="N41" s="1"/>
      <c r="O41" s="5"/>
      <c r="P41" s="5"/>
      <c r="Q41" s="5">
        <v>50000</v>
      </c>
      <c r="R41" s="1" t="s">
        <v>82</v>
      </c>
      <c r="S41" s="1" t="s">
        <v>81</v>
      </c>
      <c r="T41" s="1"/>
      <c r="U41" s="1"/>
      <c r="V41" s="1"/>
      <c r="W41" s="1" t="s">
        <v>56</v>
      </c>
      <c r="X41" s="4"/>
      <c r="Y41" s="4"/>
      <c r="Z41" s="6">
        <v>0</v>
      </c>
      <c r="AA41" s="4"/>
      <c r="AB41" s="4"/>
      <c r="AC41" s="1" t="s">
        <v>83</v>
      </c>
      <c r="AD41" s="1">
        <v>0</v>
      </c>
      <c r="AE41" s="1">
        <v>50000</v>
      </c>
      <c r="AF41" s="4" t="s">
        <v>84</v>
      </c>
      <c r="AG41" s="1" t="s">
        <v>60</v>
      </c>
      <c r="AH41" s="1"/>
      <c r="AI41" s="1" t="str">
        <f t="shared" si="7"/>
        <v>Watchlist</v>
      </c>
      <c r="AJ41" s="1" t="str">
        <f t="shared" si="8"/>
        <v>Scenario Only - No Close Date</v>
      </c>
      <c r="AK41" s="1" t="str">
        <f t="shared" si="9"/>
        <v>N</v>
      </c>
      <c r="AL41" s="5">
        <f>SUMIFS(SO_Mapping!$F:$F,SO_Mapping!$A:$A,$B41)</f>
        <v>0</v>
      </c>
      <c r="AM41" s="5" t="str">
        <f t="shared" si="10"/>
        <v>N</v>
      </c>
      <c r="AN41" s="5">
        <f t="shared" si="11"/>
        <v>50000</v>
      </c>
      <c r="AO41" s="1" t="str">
        <f t="shared" si="12"/>
        <v>No expected close date</v>
      </c>
      <c r="AP41" s="1" t="str">
        <f t="shared" si="13"/>
        <v/>
      </c>
      <c r="AQ41" s="1"/>
    </row>
    <row r="42" spans="1:43" ht="42">
      <c r="A42" s="1">
        <v>46</v>
      </c>
      <c r="B42" s="1" t="s">
        <v>212</v>
      </c>
      <c r="C42" s="1" t="s">
        <v>213</v>
      </c>
      <c r="D42" s="1" t="s">
        <v>209</v>
      </c>
      <c r="E42" s="1" t="s">
        <v>118</v>
      </c>
      <c r="F42" s="1" t="s">
        <v>63</v>
      </c>
      <c r="G42" s="1" t="s">
        <v>97</v>
      </c>
      <c r="H42" s="1" t="s">
        <v>81</v>
      </c>
      <c r="I42" s="1" t="s">
        <v>50</v>
      </c>
      <c r="J42" s="4"/>
      <c r="K42" s="5">
        <v>50000</v>
      </c>
      <c r="L42" s="6">
        <v>0.85</v>
      </c>
      <c r="M42" s="5">
        <v>42500</v>
      </c>
      <c r="N42" s="1"/>
      <c r="O42" s="5"/>
      <c r="P42" s="5"/>
      <c r="Q42" s="5">
        <v>50000</v>
      </c>
      <c r="R42" s="1" t="s">
        <v>82</v>
      </c>
      <c r="S42" s="1" t="s">
        <v>81</v>
      </c>
      <c r="T42" s="1"/>
      <c r="U42" s="1"/>
      <c r="V42" s="1"/>
      <c r="W42" s="1" t="s">
        <v>56</v>
      </c>
      <c r="X42" s="4"/>
      <c r="Y42" s="4"/>
      <c r="Z42" s="6">
        <v>0</v>
      </c>
      <c r="AA42" s="4"/>
      <c r="AB42" s="4"/>
      <c r="AC42" s="1" t="s">
        <v>83</v>
      </c>
      <c r="AD42" s="1">
        <v>0</v>
      </c>
      <c r="AE42" s="1">
        <v>50000</v>
      </c>
      <c r="AF42" s="4" t="s">
        <v>84</v>
      </c>
      <c r="AG42" s="1" t="s">
        <v>60</v>
      </c>
      <c r="AH42" s="1"/>
      <c r="AI42" s="1" t="str">
        <f t="shared" si="7"/>
        <v>Watchlist</v>
      </c>
      <c r="AJ42" s="1" t="str">
        <f t="shared" si="8"/>
        <v>Scenario Only - No Close Date</v>
      </c>
      <c r="AK42" s="1" t="str">
        <f t="shared" si="9"/>
        <v>N</v>
      </c>
      <c r="AL42" s="5">
        <f>SUMIFS(SO_Mapping!$F:$F,SO_Mapping!$A:$A,$B42)</f>
        <v>0</v>
      </c>
      <c r="AM42" s="5" t="str">
        <f t="shared" si="10"/>
        <v>N</v>
      </c>
      <c r="AN42" s="5">
        <f t="shared" si="11"/>
        <v>50000</v>
      </c>
      <c r="AO42" s="1" t="str">
        <f t="shared" si="12"/>
        <v>No expected close date</v>
      </c>
      <c r="AP42" s="1" t="str">
        <f t="shared" si="13"/>
        <v/>
      </c>
      <c r="AQ42" s="1"/>
    </row>
    <row r="43" spans="1:43" ht="42">
      <c r="A43" s="1">
        <v>47</v>
      </c>
      <c r="B43" s="1" t="s">
        <v>214</v>
      </c>
      <c r="C43" s="1" t="s">
        <v>215</v>
      </c>
      <c r="D43" s="1" t="s">
        <v>209</v>
      </c>
      <c r="E43" s="1" t="s">
        <v>118</v>
      </c>
      <c r="F43" s="1" t="s">
        <v>47</v>
      </c>
      <c r="G43" s="1" t="s">
        <v>97</v>
      </c>
      <c r="H43" s="1" t="s">
        <v>81</v>
      </c>
      <c r="I43" s="1" t="s">
        <v>50</v>
      </c>
      <c r="J43" s="4"/>
      <c r="K43" s="5">
        <v>50000</v>
      </c>
      <c r="L43" s="6">
        <v>0.85</v>
      </c>
      <c r="M43" s="5">
        <v>42500</v>
      </c>
      <c r="N43" s="1"/>
      <c r="O43" s="5"/>
      <c r="P43" s="5"/>
      <c r="Q43" s="5">
        <v>50000</v>
      </c>
      <c r="R43" s="1" t="s">
        <v>82</v>
      </c>
      <c r="S43" s="1" t="s">
        <v>81</v>
      </c>
      <c r="T43" s="1"/>
      <c r="U43" s="1"/>
      <c r="V43" s="1"/>
      <c r="W43" s="1" t="s">
        <v>56</v>
      </c>
      <c r="X43" s="4"/>
      <c r="Y43" s="4"/>
      <c r="Z43" s="6">
        <v>0</v>
      </c>
      <c r="AA43" s="4"/>
      <c r="AB43" s="4"/>
      <c r="AC43" s="1" t="s">
        <v>83</v>
      </c>
      <c r="AD43" s="1">
        <v>0</v>
      </c>
      <c r="AE43" s="1">
        <v>50000</v>
      </c>
      <c r="AF43" s="4" t="s">
        <v>84</v>
      </c>
      <c r="AG43" s="1" t="s">
        <v>60</v>
      </c>
      <c r="AH43" s="1"/>
      <c r="AI43" s="1" t="str">
        <f t="shared" si="7"/>
        <v>Watchlist</v>
      </c>
      <c r="AJ43" s="1" t="str">
        <f t="shared" si="8"/>
        <v>Scenario Only - No Close Date</v>
      </c>
      <c r="AK43" s="1" t="str">
        <f t="shared" si="9"/>
        <v>N</v>
      </c>
      <c r="AL43" s="5">
        <f>SUMIFS(SO_Mapping!$F:$F,SO_Mapping!$A:$A,$B43)</f>
        <v>0</v>
      </c>
      <c r="AM43" s="5" t="str">
        <f t="shared" si="10"/>
        <v>N</v>
      </c>
      <c r="AN43" s="5">
        <f t="shared" si="11"/>
        <v>50000</v>
      </c>
      <c r="AO43" s="1" t="str">
        <f t="shared" si="12"/>
        <v>No expected close date</v>
      </c>
      <c r="AP43" s="1" t="str">
        <f t="shared" si="13"/>
        <v/>
      </c>
      <c r="AQ43" s="1"/>
    </row>
    <row r="44" spans="1:43" ht="42">
      <c r="A44" s="1">
        <v>48</v>
      </c>
      <c r="B44" s="1" t="s">
        <v>216</v>
      </c>
      <c r="C44" s="1" t="s">
        <v>217</v>
      </c>
      <c r="D44" s="1" t="s">
        <v>204</v>
      </c>
      <c r="E44" s="1" t="s">
        <v>106</v>
      </c>
      <c r="F44" s="1" t="s">
        <v>47</v>
      </c>
      <c r="G44" s="1" t="s">
        <v>108</v>
      </c>
      <c r="H44" s="1" t="s">
        <v>81</v>
      </c>
      <c r="I44" s="1" t="s">
        <v>50</v>
      </c>
      <c r="J44" s="4"/>
      <c r="K44" s="5">
        <v>150000</v>
      </c>
      <c r="L44" s="6">
        <v>0.25</v>
      </c>
      <c r="M44" s="5">
        <v>37500</v>
      </c>
      <c r="N44" s="1"/>
      <c r="O44" s="5"/>
      <c r="P44" s="5"/>
      <c r="Q44" s="5">
        <v>150000</v>
      </c>
      <c r="R44" s="1" t="s">
        <v>82</v>
      </c>
      <c r="S44" s="1" t="s">
        <v>81</v>
      </c>
      <c r="T44" s="1"/>
      <c r="U44" s="1"/>
      <c r="V44" s="1"/>
      <c r="W44" s="1" t="s">
        <v>56</v>
      </c>
      <c r="X44" s="4"/>
      <c r="Y44" s="4"/>
      <c r="Z44" s="6">
        <v>0</v>
      </c>
      <c r="AA44" s="4"/>
      <c r="AB44" s="4"/>
      <c r="AC44" s="1" t="s">
        <v>83</v>
      </c>
      <c r="AD44" s="1">
        <v>0</v>
      </c>
      <c r="AE44" s="1">
        <v>150000</v>
      </c>
      <c r="AF44" s="4" t="s">
        <v>84</v>
      </c>
      <c r="AG44" s="1" t="s">
        <v>60</v>
      </c>
      <c r="AH44" s="1"/>
      <c r="AI44" s="1" t="str">
        <f t="shared" si="7"/>
        <v>Watchlist</v>
      </c>
      <c r="AJ44" s="1" t="str">
        <f t="shared" si="8"/>
        <v>Scenario Only - No Close Date</v>
      </c>
      <c r="AK44" s="1" t="str">
        <f t="shared" si="9"/>
        <v>N</v>
      </c>
      <c r="AL44" s="5">
        <f>SUMIFS(SO_Mapping!$F:$F,SO_Mapping!$A:$A,$B44)</f>
        <v>0</v>
      </c>
      <c r="AM44" s="5" t="str">
        <f t="shared" si="10"/>
        <v>N</v>
      </c>
      <c r="AN44" s="5">
        <f t="shared" si="11"/>
        <v>150000</v>
      </c>
      <c r="AO44" s="1" t="str">
        <f t="shared" si="12"/>
        <v>No expected close date</v>
      </c>
      <c r="AP44" s="1" t="str">
        <f t="shared" si="13"/>
        <v/>
      </c>
      <c r="AQ44" s="1"/>
    </row>
    <row r="45" spans="1:43" ht="42">
      <c r="A45" s="1">
        <v>49</v>
      </c>
      <c r="B45" s="1" t="s">
        <v>218</v>
      </c>
      <c r="C45" s="1" t="s">
        <v>219</v>
      </c>
      <c r="D45" s="1" t="s">
        <v>125</v>
      </c>
      <c r="E45" s="1" t="s">
        <v>46</v>
      </c>
      <c r="F45" s="1" t="s">
        <v>47</v>
      </c>
      <c r="G45" s="1" t="s">
        <v>48</v>
      </c>
      <c r="H45" s="1" t="s">
        <v>81</v>
      </c>
      <c r="I45" s="1" t="s">
        <v>50</v>
      </c>
      <c r="J45" s="4"/>
      <c r="K45" s="5">
        <v>50000</v>
      </c>
      <c r="L45" s="6">
        <v>0.75</v>
      </c>
      <c r="M45" s="5">
        <v>37500</v>
      </c>
      <c r="N45" s="1"/>
      <c r="O45" s="5"/>
      <c r="P45" s="5"/>
      <c r="Q45" s="5">
        <v>50000</v>
      </c>
      <c r="R45" s="1" t="s">
        <v>82</v>
      </c>
      <c r="S45" s="1" t="s">
        <v>81</v>
      </c>
      <c r="T45" s="1"/>
      <c r="U45" s="1"/>
      <c r="V45" s="1"/>
      <c r="W45" s="1" t="s">
        <v>56</v>
      </c>
      <c r="X45" s="4"/>
      <c r="Y45" s="4"/>
      <c r="Z45" s="6">
        <v>0</v>
      </c>
      <c r="AA45" s="4"/>
      <c r="AB45" s="4"/>
      <c r="AC45" s="1" t="s">
        <v>83</v>
      </c>
      <c r="AD45" s="1">
        <v>0</v>
      </c>
      <c r="AE45" s="1">
        <v>50000</v>
      </c>
      <c r="AF45" s="4" t="s">
        <v>84</v>
      </c>
      <c r="AG45" s="1" t="s">
        <v>60</v>
      </c>
      <c r="AH45" s="1"/>
      <c r="AI45" s="1" t="str">
        <f t="shared" si="7"/>
        <v>Watchlist</v>
      </c>
      <c r="AJ45" s="1" t="str">
        <f t="shared" si="8"/>
        <v>Scenario Only - No Close Date</v>
      </c>
      <c r="AK45" s="1" t="str">
        <f t="shared" si="9"/>
        <v>N</v>
      </c>
      <c r="AL45" s="5">
        <f>SUMIFS(SO_Mapping!$F:$F,SO_Mapping!$A:$A,$B45)</f>
        <v>0</v>
      </c>
      <c r="AM45" s="5" t="str">
        <f t="shared" si="10"/>
        <v>N</v>
      </c>
      <c r="AN45" s="5">
        <f t="shared" si="11"/>
        <v>50000</v>
      </c>
      <c r="AO45" s="1" t="str">
        <f t="shared" si="12"/>
        <v>No expected close date</v>
      </c>
      <c r="AP45" s="1" t="str">
        <f t="shared" si="13"/>
        <v/>
      </c>
      <c r="AQ45" s="1"/>
    </row>
    <row r="46" spans="1:43" ht="42">
      <c r="A46" s="1">
        <v>50</v>
      </c>
      <c r="B46" s="1" t="s">
        <v>220</v>
      </c>
      <c r="C46" s="1" t="s">
        <v>221</v>
      </c>
      <c r="D46" s="1" t="s">
        <v>209</v>
      </c>
      <c r="E46" s="1" t="s">
        <v>118</v>
      </c>
      <c r="F46" s="1" t="s">
        <v>63</v>
      </c>
      <c r="G46" s="1" t="s">
        <v>97</v>
      </c>
      <c r="H46" s="1" t="s">
        <v>81</v>
      </c>
      <c r="I46" s="1" t="s">
        <v>50</v>
      </c>
      <c r="J46" s="4"/>
      <c r="K46" s="5">
        <v>75000</v>
      </c>
      <c r="L46" s="6">
        <v>0.5</v>
      </c>
      <c r="M46" s="5">
        <v>37500</v>
      </c>
      <c r="N46" s="1"/>
      <c r="O46" s="5"/>
      <c r="P46" s="5"/>
      <c r="Q46" s="5">
        <v>75000</v>
      </c>
      <c r="R46" s="1" t="s">
        <v>82</v>
      </c>
      <c r="S46" s="1" t="s">
        <v>81</v>
      </c>
      <c r="T46" s="1"/>
      <c r="U46" s="1"/>
      <c r="V46" s="1"/>
      <c r="W46" s="1" t="s">
        <v>56</v>
      </c>
      <c r="X46" s="4"/>
      <c r="Y46" s="4"/>
      <c r="Z46" s="6">
        <v>0</v>
      </c>
      <c r="AA46" s="4"/>
      <c r="AB46" s="4"/>
      <c r="AC46" s="1" t="s">
        <v>83</v>
      </c>
      <c r="AD46" s="1">
        <v>0</v>
      </c>
      <c r="AE46" s="1">
        <v>75000</v>
      </c>
      <c r="AF46" s="4" t="s">
        <v>84</v>
      </c>
      <c r="AG46" s="1" t="s">
        <v>60</v>
      </c>
      <c r="AH46" s="1"/>
      <c r="AI46" s="1" t="str">
        <f t="shared" si="7"/>
        <v>Watchlist</v>
      </c>
      <c r="AJ46" s="1" t="str">
        <f t="shared" si="8"/>
        <v>Scenario Only - No Close Date</v>
      </c>
      <c r="AK46" s="1" t="str">
        <f t="shared" si="9"/>
        <v>N</v>
      </c>
      <c r="AL46" s="5">
        <f>SUMIFS(SO_Mapping!$F:$F,SO_Mapping!$A:$A,$B46)</f>
        <v>0</v>
      </c>
      <c r="AM46" s="5" t="str">
        <f t="shared" si="10"/>
        <v>N</v>
      </c>
      <c r="AN46" s="5">
        <f t="shared" si="11"/>
        <v>75000</v>
      </c>
      <c r="AO46" s="1" t="str">
        <f t="shared" si="12"/>
        <v>No expected close date</v>
      </c>
      <c r="AP46" s="1" t="str">
        <f t="shared" si="13"/>
        <v/>
      </c>
      <c r="AQ46" s="1"/>
    </row>
    <row r="47" spans="1:43" ht="42">
      <c r="A47" s="1">
        <v>51</v>
      </c>
      <c r="B47" s="1" t="s">
        <v>222</v>
      </c>
      <c r="C47" s="1" t="s">
        <v>170</v>
      </c>
      <c r="D47" s="1" t="s">
        <v>122</v>
      </c>
      <c r="E47" s="1" t="s">
        <v>106</v>
      </c>
      <c r="F47" s="1" t="s">
        <v>107</v>
      </c>
      <c r="G47" s="1" t="s">
        <v>108</v>
      </c>
      <c r="H47" s="1" t="s">
        <v>49</v>
      </c>
      <c r="I47" s="1" t="s">
        <v>50</v>
      </c>
      <c r="J47" s="4" t="s">
        <v>164</v>
      </c>
      <c r="K47" s="5">
        <v>40000</v>
      </c>
      <c r="L47" s="6">
        <v>0.9</v>
      </c>
      <c r="M47" s="5">
        <v>36000</v>
      </c>
      <c r="N47" s="1" t="s">
        <v>223</v>
      </c>
      <c r="O47" s="5">
        <v>40275</v>
      </c>
      <c r="P47" s="5" t="s">
        <v>164</v>
      </c>
      <c r="Q47" s="5"/>
      <c r="R47" s="1" t="s">
        <v>224</v>
      </c>
      <c r="S47" s="1" t="s">
        <v>101</v>
      </c>
      <c r="T47" s="1"/>
      <c r="U47" s="1"/>
      <c r="V47" s="1"/>
      <c r="W47" s="1" t="s">
        <v>56</v>
      </c>
      <c r="X47" s="4" t="s">
        <v>164</v>
      </c>
      <c r="Y47" s="4" t="s">
        <v>167</v>
      </c>
      <c r="Z47" s="6">
        <v>0</v>
      </c>
      <c r="AA47" s="4"/>
      <c r="AB47" s="4" t="s">
        <v>167</v>
      </c>
      <c r="AC47" s="1" t="s">
        <v>58</v>
      </c>
      <c r="AD47" s="1">
        <v>40275</v>
      </c>
      <c r="AE47" s="1">
        <v>0</v>
      </c>
      <c r="AF47" s="4" t="s">
        <v>59</v>
      </c>
      <c r="AG47" s="1" t="s">
        <v>60</v>
      </c>
      <c r="AH47" s="1"/>
      <c r="AI47" s="1" t="str">
        <f t="shared" si="7"/>
        <v>Converted/Partially Converted</v>
      </c>
      <c r="AJ47" s="1" t="str">
        <f t="shared" si="8"/>
        <v>Eligible</v>
      </c>
      <c r="AK47" s="1" t="str">
        <f t="shared" si="9"/>
        <v>Y</v>
      </c>
      <c r="AL47" s="5">
        <f>SUMIFS(SO_Mapping!$F:$F,SO_Mapping!$A:$A,$B47)</f>
        <v>40275</v>
      </c>
      <c r="AM47" s="5" t="str">
        <f t="shared" si="10"/>
        <v>N</v>
      </c>
      <c r="AN47" s="5">
        <f t="shared" si="11"/>
        <v>0</v>
      </c>
      <c r="AO47" s="1" t="str">
        <f t="shared" si="12"/>
        <v>Cash eligible</v>
      </c>
      <c r="AP47" s="1" t="str">
        <f t="shared" si="13"/>
        <v>2026-01-31</v>
      </c>
      <c r="AQ47" s="1"/>
    </row>
    <row r="48" spans="1:43" ht="42">
      <c r="A48" s="1">
        <v>52</v>
      </c>
      <c r="B48" s="1" t="s">
        <v>225</v>
      </c>
      <c r="C48" s="1" t="s">
        <v>219</v>
      </c>
      <c r="D48" s="1" t="s">
        <v>125</v>
      </c>
      <c r="E48" s="1" t="s">
        <v>46</v>
      </c>
      <c r="F48" s="1" t="s">
        <v>107</v>
      </c>
      <c r="G48" s="1" t="s">
        <v>48</v>
      </c>
      <c r="H48" s="1" t="s">
        <v>49</v>
      </c>
      <c r="I48" s="1" t="s">
        <v>50</v>
      </c>
      <c r="J48" s="4" t="s">
        <v>164</v>
      </c>
      <c r="K48" s="5">
        <v>46450</v>
      </c>
      <c r="L48" s="6">
        <v>0.75</v>
      </c>
      <c r="M48" s="5">
        <v>34838</v>
      </c>
      <c r="N48" s="1" t="s">
        <v>226</v>
      </c>
      <c r="O48" s="5">
        <v>46450</v>
      </c>
      <c r="P48" s="5" t="s">
        <v>164</v>
      </c>
      <c r="Q48" s="5"/>
      <c r="R48" s="1" t="s">
        <v>156</v>
      </c>
      <c r="S48" s="1" t="s">
        <v>101</v>
      </c>
      <c r="T48" s="1"/>
      <c r="U48" s="1"/>
      <c r="V48" s="1"/>
      <c r="W48" s="1" t="s">
        <v>56</v>
      </c>
      <c r="X48" s="4" t="s">
        <v>164</v>
      </c>
      <c r="Y48" s="4" t="s">
        <v>167</v>
      </c>
      <c r="Z48" s="6">
        <v>0</v>
      </c>
      <c r="AA48" s="4"/>
      <c r="AB48" s="4" t="s">
        <v>167</v>
      </c>
      <c r="AC48" s="1" t="s">
        <v>58</v>
      </c>
      <c r="AD48" s="1">
        <v>46450</v>
      </c>
      <c r="AE48" s="1">
        <v>0</v>
      </c>
      <c r="AF48" s="4" t="s">
        <v>59</v>
      </c>
      <c r="AG48" s="1" t="s">
        <v>60</v>
      </c>
      <c r="AH48" s="1"/>
      <c r="AI48" s="1" t="str">
        <f t="shared" si="7"/>
        <v>Converted/Partially Converted</v>
      </c>
      <c r="AJ48" s="1" t="str">
        <f t="shared" si="8"/>
        <v>Eligible</v>
      </c>
      <c r="AK48" s="1" t="str">
        <f t="shared" si="9"/>
        <v>Y</v>
      </c>
      <c r="AL48" s="5">
        <f>SUMIFS(SO_Mapping!$F:$F,SO_Mapping!$A:$A,$B48)</f>
        <v>46450</v>
      </c>
      <c r="AM48" s="5" t="str">
        <f t="shared" si="10"/>
        <v>N</v>
      </c>
      <c r="AN48" s="5">
        <f t="shared" si="11"/>
        <v>0</v>
      </c>
      <c r="AO48" s="1" t="str">
        <f t="shared" si="12"/>
        <v>Cash eligible</v>
      </c>
      <c r="AP48" s="1" t="str">
        <f t="shared" si="13"/>
        <v>2026-01-31</v>
      </c>
      <c r="AQ48" s="1"/>
    </row>
    <row r="49" spans="1:43" ht="56">
      <c r="A49" s="1">
        <v>53</v>
      </c>
      <c r="B49" s="1" t="s">
        <v>227</v>
      </c>
      <c r="C49" s="1" t="s">
        <v>193</v>
      </c>
      <c r="D49" s="1" t="s">
        <v>194</v>
      </c>
      <c r="E49" s="1" t="s">
        <v>96</v>
      </c>
      <c r="F49" s="1" t="s">
        <v>107</v>
      </c>
      <c r="G49" s="1" t="s">
        <v>97</v>
      </c>
      <c r="H49" s="1" t="s">
        <v>49</v>
      </c>
      <c r="I49" s="1" t="s">
        <v>50</v>
      </c>
      <c r="J49" s="4" t="s">
        <v>164</v>
      </c>
      <c r="K49" s="5">
        <v>30000</v>
      </c>
      <c r="L49" s="6">
        <v>0.9</v>
      </c>
      <c r="M49" s="5">
        <v>27000</v>
      </c>
      <c r="N49" s="1" t="s">
        <v>228</v>
      </c>
      <c r="O49" s="5">
        <v>63164</v>
      </c>
      <c r="P49" s="5" t="s">
        <v>164</v>
      </c>
      <c r="Q49" s="5"/>
      <c r="R49" s="1" t="s">
        <v>229</v>
      </c>
      <c r="S49" s="1" t="s">
        <v>101</v>
      </c>
      <c r="T49" s="1"/>
      <c r="U49" s="1"/>
      <c r="V49" s="1"/>
      <c r="W49" s="1" t="s">
        <v>112</v>
      </c>
      <c r="X49" s="4" t="s">
        <v>164</v>
      </c>
      <c r="Y49" s="4" t="s">
        <v>167</v>
      </c>
      <c r="Z49" s="6">
        <v>0</v>
      </c>
      <c r="AA49" s="4"/>
      <c r="AB49" s="4" t="s">
        <v>167</v>
      </c>
      <c r="AC49" s="1" t="s">
        <v>58</v>
      </c>
      <c r="AD49" s="1">
        <v>63164</v>
      </c>
      <c r="AE49" s="1">
        <v>0</v>
      </c>
      <c r="AF49" s="4" t="s">
        <v>114</v>
      </c>
      <c r="AG49" s="1" t="s">
        <v>60</v>
      </c>
      <c r="AH49" s="1"/>
      <c r="AI49" s="1" t="str">
        <f t="shared" si="7"/>
        <v>Converted/Partially Converted</v>
      </c>
      <c r="AJ49" s="1" t="str">
        <f t="shared" si="8"/>
        <v>Eligible</v>
      </c>
      <c r="AK49" s="1" t="str">
        <f t="shared" si="9"/>
        <v>Y</v>
      </c>
      <c r="AL49" s="5">
        <f>SUMIFS(SO_Mapping!$F:$F,SO_Mapping!$A:$A,$B49)</f>
        <v>63164</v>
      </c>
      <c r="AM49" s="5" t="str">
        <f t="shared" si="10"/>
        <v>N</v>
      </c>
      <c r="AN49" s="5">
        <f t="shared" si="11"/>
        <v>0</v>
      </c>
      <c r="AO49" s="1" t="str">
        <f t="shared" si="12"/>
        <v>Cash eligible</v>
      </c>
      <c r="AP49" s="1" t="str">
        <f t="shared" si="13"/>
        <v>2026-01-31</v>
      </c>
      <c r="AQ49" s="1"/>
    </row>
    <row r="50" spans="1:43" ht="42">
      <c r="A50" s="1">
        <v>54</v>
      </c>
      <c r="B50" s="1" t="s">
        <v>230</v>
      </c>
      <c r="C50" s="1" t="s">
        <v>193</v>
      </c>
      <c r="D50" s="1" t="s">
        <v>194</v>
      </c>
      <c r="E50" s="1" t="s">
        <v>96</v>
      </c>
      <c r="F50" s="1" t="s">
        <v>63</v>
      </c>
      <c r="G50" s="1" t="s">
        <v>97</v>
      </c>
      <c r="H50" s="1" t="s">
        <v>81</v>
      </c>
      <c r="I50" s="1" t="s">
        <v>50</v>
      </c>
      <c r="J50" s="4"/>
      <c r="K50" s="5">
        <v>30000</v>
      </c>
      <c r="L50" s="6">
        <v>0.9</v>
      </c>
      <c r="M50" s="5">
        <v>27000</v>
      </c>
      <c r="N50" s="1"/>
      <c r="O50" s="5"/>
      <c r="P50" s="5"/>
      <c r="Q50" s="5">
        <v>30000</v>
      </c>
      <c r="R50" s="1" t="s">
        <v>82</v>
      </c>
      <c r="S50" s="1" t="s">
        <v>81</v>
      </c>
      <c r="T50" s="1"/>
      <c r="U50" s="1"/>
      <c r="V50" s="1"/>
      <c r="W50" s="1" t="s">
        <v>56</v>
      </c>
      <c r="X50" s="4"/>
      <c r="Y50" s="4"/>
      <c r="Z50" s="6">
        <v>0</v>
      </c>
      <c r="AA50" s="4"/>
      <c r="AB50" s="4"/>
      <c r="AC50" s="1" t="s">
        <v>83</v>
      </c>
      <c r="AD50" s="1">
        <v>0</v>
      </c>
      <c r="AE50" s="1">
        <v>30000</v>
      </c>
      <c r="AF50" s="4" t="s">
        <v>84</v>
      </c>
      <c r="AG50" s="1" t="s">
        <v>60</v>
      </c>
      <c r="AH50" s="1"/>
      <c r="AI50" s="1" t="str">
        <f t="shared" si="7"/>
        <v>Watchlist</v>
      </c>
      <c r="AJ50" s="1" t="str">
        <f t="shared" si="8"/>
        <v>Scenario Only - No Close Date</v>
      </c>
      <c r="AK50" s="1" t="str">
        <f t="shared" si="9"/>
        <v>N</v>
      </c>
      <c r="AL50" s="5">
        <f>SUMIFS(SO_Mapping!$F:$F,SO_Mapping!$A:$A,$B50)</f>
        <v>0</v>
      </c>
      <c r="AM50" s="5" t="str">
        <f t="shared" si="10"/>
        <v>N</v>
      </c>
      <c r="AN50" s="5">
        <f t="shared" si="11"/>
        <v>30000</v>
      </c>
      <c r="AO50" s="1" t="str">
        <f t="shared" si="12"/>
        <v>No expected close date</v>
      </c>
      <c r="AP50" s="1" t="str">
        <f t="shared" si="13"/>
        <v/>
      </c>
      <c r="AQ50" s="1"/>
    </row>
    <row r="51" spans="1:43" ht="42">
      <c r="A51" s="1">
        <v>55</v>
      </c>
      <c r="B51" s="1" t="s">
        <v>231</v>
      </c>
      <c r="C51" s="1" t="s">
        <v>193</v>
      </c>
      <c r="D51" s="1" t="s">
        <v>194</v>
      </c>
      <c r="E51" s="1" t="s">
        <v>96</v>
      </c>
      <c r="F51" s="1" t="s">
        <v>47</v>
      </c>
      <c r="G51" s="1" t="s">
        <v>97</v>
      </c>
      <c r="H51" s="1" t="s">
        <v>81</v>
      </c>
      <c r="I51" s="1" t="s">
        <v>50</v>
      </c>
      <c r="J51" s="4"/>
      <c r="K51" s="5">
        <v>30000</v>
      </c>
      <c r="L51" s="6">
        <v>0.9</v>
      </c>
      <c r="M51" s="5">
        <v>27000</v>
      </c>
      <c r="N51" s="1"/>
      <c r="O51" s="5"/>
      <c r="P51" s="5"/>
      <c r="Q51" s="5">
        <v>30000</v>
      </c>
      <c r="R51" s="1" t="s">
        <v>82</v>
      </c>
      <c r="S51" s="1" t="s">
        <v>81</v>
      </c>
      <c r="T51" s="1"/>
      <c r="U51" s="1"/>
      <c r="V51" s="1"/>
      <c r="W51" s="1" t="s">
        <v>56</v>
      </c>
      <c r="X51" s="4"/>
      <c r="Y51" s="4"/>
      <c r="Z51" s="6">
        <v>0</v>
      </c>
      <c r="AA51" s="4"/>
      <c r="AB51" s="4"/>
      <c r="AC51" s="1" t="s">
        <v>83</v>
      </c>
      <c r="AD51" s="1">
        <v>0</v>
      </c>
      <c r="AE51" s="1">
        <v>30000</v>
      </c>
      <c r="AF51" s="4" t="s">
        <v>84</v>
      </c>
      <c r="AG51" s="1" t="s">
        <v>60</v>
      </c>
      <c r="AH51" s="1"/>
      <c r="AI51" s="1" t="str">
        <f t="shared" si="7"/>
        <v>Watchlist</v>
      </c>
      <c r="AJ51" s="1" t="str">
        <f t="shared" si="8"/>
        <v>Scenario Only - No Close Date</v>
      </c>
      <c r="AK51" s="1" t="str">
        <f t="shared" si="9"/>
        <v>N</v>
      </c>
      <c r="AL51" s="5">
        <f>SUMIFS(SO_Mapping!$F:$F,SO_Mapping!$A:$A,$B51)</f>
        <v>0</v>
      </c>
      <c r="AM51" s="5" t="str">
        <f t="shared" si="10"/>
        <v>N</v>
      </c>
      <c r="AN51" s="5">
        <f t="shared" si="11"/>
        <v>30000</v>
      </c>
      <c r="AO51" s="1" t="str">
        <f t="shared" si="12"/>
        <v>No expected close date</v>
      </c>
      <c r="AP51" s="1" t="str">
        <f t="shared" si="13"/>
        <v/>
      </c>
      <c r="AQ51" s="1"/>
    </row>
    <row r="52" spans="1:43" ht="42">
      <c r="A52" s="1">
        <v>56</v>
      </c>
      <c r="B52" s="1" t="s">
        <v>232</v>
      </c>
      <c r="C52" s="1" t="s">
        <v>233</v>
      </c>
      <c r="D52" s="1" t="s">
        <v>234</v>
      </c>
      <c r="E52" s="1" t="s">
        <v>118</v>
      </c>
      <c r="F52" s="1" t="s">
        <v>107</v>
      </c>
      <c r="G52" s="1" t="s">
        <v>97</v>
      </c>
      <c r="H52" s="1" t="s">
        <v>179</v>
      </c>
      <c r="I52" s="1" t="s">
        <v>50</v>
      </c>
      <c r="J52" s="4"/>
      <c r="K52" s="5">
        <v>30000</v>
      </c>
      <c r="L52" s="6">
        <v>0.9</v>
      </c>
      <c r="M52" s="5">
        <v>27000</v>
      </c>
      <c r="N52" s="1"/>
      <c r="O52" s="5"/>
      <c r="P52" s="5"/>
      <c r="Q52" s="5">
        <v>30000</v>
      </c>
      <c r="R52" s="1" t="s">
        <v>82</v>
      </c>
      <c r="S52" s="1" t="s">
        <v>179</v>
      </c>
      <c r="T52" s="1"/>
      <c r="U52" s="1"/>
      <c r="V52" s="1"/>
      <c r="W52" s="1" t="s">
        <v>56</v>
      </c>
      <c r="X52" s="4"/>
      <c r="Y52" s="4"/>
      <c r="Z52" s="6">
        <v>0</v>
      </c>
      <c r="AA52" s="4"/>
      <c r="AB52" s="4"/>
      <c r="AC52" s="1" t="s">
        <v>83</v>
      </c>
      <c r="AD52" s="1">
        <v>0</v>
      </c>
      <c r="AE52" s="1">
        <v>30000</v>
      </c>
      <c r="AF52" s="4" t="s">
        <v>84</v>
      </c>
      <c r="AG52" s="1" t="s">
        <v>60</v>
      </c>
      <c r="AH52" s="1"/>
      <c r="AI52" s="1" t="str">
        <f t="shared" si="7"/>
        <v>Lost</v>
      </c>
      <c r="AJ52" s="1" t="str">
        <f t="shared" si="8"/>
        <v>Not Eligible - Lost</v>
      </c>
      <c r="AK52" s="1" t="str">
        <f t="shared" si="9"/>
        <v>N</v>
      </c>
      <c r="AL52" s="5">
        <f>SUMIFS(SO_Mapping!$F:$F,SO_Mapping!$A:$A,$B52)</f>
        <v>0</v>
      </c>
      <c r="AM52" s="5" t="str">
        <f t="shared" si="10"/>
        <v>N</v>
      </c>
      <c r="AN52" s="5">
        <f t="shared" si="11"/>
        <v>30000</v>
      </c>
      <c r="AO52" s="1" t="str">
        <f t="shared" si="12"/>
        <v>No expected close date</v>
      </c>
      <c r="AP52" s="1" t="str">
        <f t="shared" si="13"/>
        <v/>
      </c>
      <c r="AQ52" s="1"/>
    </row>
    <row r="53" spans="1:43" ht="42">
      <c r="A53" s="1">
        <v>57</v>
      </c>
      <c r="B53" s="1" t="s">
        <v>235</v>
      </c>
      <c r="C53" s="1" t="s">
        <v>233</v>
      </c>
      <c r="D53" s="1" t="s">
        <v>234</v>
      </c>
      <c r="E53" s="1" t="s">
        <v>118</v>
      </c>
      <c r="F53" s="1" t="s">
        <v>63</v>
      </c>
      <c r="G53" s="1" t="s">
        <v>97</v>
      </c>
      <c r="H53" s="1" t="s">
        <v>81</v>
      </c>
      <c r="I53" s="1" t="s">
        <v>50</v>
      </c>
      <c r="J53" s="4"/>
      <c r="K53" s="5">
        <v>30000</v>
      </c>
      <c r="L53" s="6">
        <v>0.9</v>
      </c>
      <c r="M53" s="5">
        <v>27000</v>
      </c>
      <c r="N53" s="1"/>
      <c r="O53" s="5"/>
      <c r="P53" s="5"/>
      <c r="Q53" s="5">
        <v>30000</v>
      </c>
      <c r="R53" s="1" t="s">
        <v>82</v>
      </c>
      <c r="S53" s="1" t="s">
        <v>81</v>
      </c>
      <c r="T53" s="1"/>
      <c r="U53" s="1"/>
      <c r="V53" s="1"/>
      <c r="W53" s="1" t="s">
        <v>56</v>
      </c>
      <c r="X53" s="4"/>
      <c r="Y53" s="4"/>
      <c r="Z53" s="6">
        <v>0</v>
      </c>
      <c r="AA53" s="4"/>
      <c r="AB53" s="4"/>
      <c r="AC53" s="1" t="s">
        <v>83</v>
      </c>
      <c r="AD53" s="1">
        <v>0</v>
      </c>
      <c r="AE53" s="1">
        <v>30000</v>
      </c>
      <c r="AF53" s="4" t="s">
        <v>84</v>
      </c>
      <c r="AG53" s="1" t="s">
        <v>60</v>
      </c>
      <c r="AH53" s="1"/>
      <c r="AI53" s="1" t="str">
        <f t="shared" si="7"/>
        <v>Watchlist</v>
      </c>
      <c r="AJ53" s="1" t="str">
        <f t="shared" si="8"/>
        <v>Scenario Only - No Close Date</v>
      </c>
      <c r="AK53" s="1" t="str">
        <f t="shared" si="9"/>
        <v>N</v>
      </c>
      <c r="AL53" s="5">
        <f>SUMIFS(SO_Mapping!$F:$F,SO_Mapping!$A:$A,$B53)</f>
        <v>0</v>
      </c>
      <c r="AM53" s="5" t="str">
        <f t="shared" si="10"/>
        <v>N</v>
      </c>
      <c r="AN53" s="5">
        <f t="shared" si="11"/>
        <v>30000</v>
      </c>
      <c r="AO53" s="1" t="str">
        <f t="shared" si="12"/>
        <v>No expected close date</v>
      </c>
      <c r="AP53" s="1" t="str">
        <f t="shared" si="13"/>
        <v/>
      </c>
      <c r="AQ53" s="1"/>
    </row>
    <row r="54" spans="1:43" ht="42">
      <c r="A54" s="1">
        <v>58</v>
      </c>
      <c r="B54" s="1" t="s">
        <v>236</v>
      </c>
      <c r="C54" s="1" t="s">
        <v>237</v>
      </c>
      <c r="D54" s="1" t="s">
        <v>204</v>
      </c>
      <c r="E54" s="1" t="s">
        <v>106</v>
      </c>
      <c r="F54" s="1" t="s">
        <v>47</v>
      </c>
      <c r="G54" s="1" t="s">
        <v>108</v>
      </c>
      <c r="H54" s="1" t="s">
        <v>81</v>
      </c>
      <c r="I54" s="1" t="s">
        <v>50</v>
      </c>
      <c r="J54" s="4"/>
      <c r="K54" s="5">
        <v>105000</v>
      </c>
      <c r="L54" s="6">
        <v>0.25</v>
      </c>
      <c r="M54" s="5">
        <v>26250</v>
      </c>
      <c r="N54" s="1"/>
      <c r="O54" s="5"/>
      <c r="P54" s="5"/>
      <c r="Q54" s="5">
        <v>105000</v>
      </c>
      <c r="R54" s="1" t="s">
        <v>82</v>
      </c>
      <c r="S54" s="1" t="s">
        <v>81</v>
      </c>
      <c r="T54" s="1"/>
      <c r="U54" s="1"/>
      <c r="V54" s="1"/>
      <c r="W54" s="1" t="s">
        <v>56</v>
      </c>
      <c r="X54" s="4"/>
      <c r="Y54" s="4"/>
      <c r="Z54" s="6">
        <v>0</v>
      </c>
      <c r="AA54" s="4"/>
      <c r="AB54" s="4"/>
      <c r="AC54" s="1" t="s">
        <v>83</v>
      </c>
      <c r="AD54" s="1">
        <v>0</v>
      </c>
      <c r="AE54" s="1">
        <v>105000</v>
      </c>
      <c r="AF54" s="4" t="s">
        <v>84</v>
      </c>
      <c r="AG54" s="1" t="s">
        <v>60</v>
      </c>
      <c r="AH54" s="1"/>
      <c r="AI54" s="1" t="str">
        <f t="shared" si="7"/>
        <v>Watchlist</v>
      </c>
      <c r="AJ54" s="1" t="str">
        <f t="shared" si="8"/>
        <v>Scenario Only - No Close Date</v>
      </c>
      <c r="AK54" s="1" t="str">
        <f t="shared" si="9"/>
        <v>N</v>
      </c>
      <c r="AL54" s="5">
        <f>SUMIFS(SO_Mapping!$F:$F,SO_Mapping!$A:$A,$B54)</f>
        <v>0</v>
      </c>
      <c r="AM54" s="5" t="str">
        <f t="shared" si="10"/>
        <v>N</v>
      </c>
      <c r="AN54" s="5">
        <f t="shared" si="11"/>
        <v>105000</v>
      </c>
      <c r="AO54" s="1" t="str">
        <f t="shared" si="12"/>
        <v>No expected close date</v>
      </c>
      <c r="AP54" s="1" t="str">
        <f t="shared" si="13"/>
        <v/>
      </c>
      <c r="AQ54" s="1"/>
    </row>
    <row r="55" spans="1:43" ht="42">
      <c r="A55" s="1">
        <v>59</v>
      </c>
      <c r="B55" s="1" t="s">
        <v>238</v>
      </c>
      <c r="C55" s="1" t="s">
        <v>239</v>
      </c>
      <c r="D55" s="1" t="s">
        <v>204</v>
      </c>
      <c r="E55" s="1" t="s">
        <v>106</v>
      </c>
      <c r="F55" s="1" t="s">
        <v>47</v>
      </c>
      <c r="G55" s="1" t="s">
        <v>108</v>
      </c>
      <c r="H55" s="1" t="s">
        <v>81</v>
      </c>
      <c r="I55" s="1" t="s">
        <v>50</v>
      </c>
      <c r="J55" s="4"/>
      <c r="K55" s="5">
        <v>105000</v>
      </c>
      <c r="L55" s="6">
        <v>0.25</v>
      </c>
      <c r="M55" s="5">
        <v>26250</v>
      </c>
      <c r="N55" s="1"/>
      <c r="O55" s="5"/>
      <c r="P55" s="5"/>
      <c r="Q55" s="5">
        <v>105000</v>
      </c>
      <c r="R55" s="1" t="s">
        <v>82</v>
      </c>
      <c r="S55" s="1" t="s">
        <v>81</v>
      </c>
      <c r="T55" s="1"/>
      <c r="U55" s="1"/>
      <c r="V55" s="1"/>
      <c r="W55" s="1" t="s">
        <v>56</v>
      </c>
      <c r="X55" s="4"/>
      <c r="Y55" s="4"/>
      <c r="Z55" s="6">
        <v>0</v>
      </c>
      <c r="AA55" s="4"/>
      <c r="AB55" s="4"/>
      <c r="AC55" s="1" t="s">
        <v>83</v>
      </c>
      <c r="AD55" s="1">
        <v>0</v>
      </c>
      <c r="AE55" s="1">
        <v>105000</v>
      </c>
      <c r="AF55" s="4" t="s">
        <v>84</v>
      </c>
      <c r="AG55" s="1" t="s">
        <v>60</v>
      </c>
      <c r="AH55" s="1"/>
      <c r="AI55" s="1" t="str">
        <f t="shared" si="7"/>
        <v>Watchlist</v>
      </c>
      <c r="AJ55" s="1" t="str">
        <f t="shared" si="8"/>
        <v>Scenario Only - No Close Date</v>
      </c>
      <c r="AK55" s="1" t="str">
        <f t="shared" si="9"/>
        <v>N</v>
      </c>
      <c r="AL55" s="5">
        <f>SUMIFS(SO_Mapping!$F:$F,SO_Mapping!$A:$A,$B55)</f>
        <v>0</v>
      </c>
      <c r="AM55" s="5" t="str">
        <f t="shared" si="10"/>
        <v>N</v>
      </c>
      <c r="AN55" s="5">
        <f t="shared" si="11"/>
        <v>105000</v>
      </c>
      <c r="AO55" s="1" t="str">
        <f t="shared" si="12"/>
        <v>No expected close date</v>
      </c>
      <c r="AP55" s="1" t="str">
        <f t="shared" si="13"/>
        <v/>
      </c>
      <c r="AQ55" s="1"/>
    </row>
    <row r="56" spans="1:43" ht="42">
      <c r="A56" s="1">
        <v>60</v>
      </c>
      <c r="B56" s="1" t="s">
        <v>240</v>
      </c>
      <c r="C56" s="1" t="s">
        <v>241</v>
      </c>
      <c r="D56" s="1" t="s">
        <v>191</v>
      </c>
      <c r="E56" s="1" t="s">
        <v>106</v>
      </c>
      <c r="F56" s="1" t="s">
        <v>69</v>
      </c>
      <c r="G56" s="1" t="s">
        <v>108</v>
      </c>
      <c r="H56" s="1" t="s">
        <v>81</v>
      </c>
      <c r="I56" s="1" t="s">
        <v>50</v>
      </c>
      <c r="J56" s="4"/>
      <c r="K56" s="5">
        <v>50000</v>
      </c>
      <c r="L56" s="6">
        <v>0.5</v>
      </c>
      <c r="M56" s="5">
        <v>25000</v>
      </c>
      <c r="N56" s="1"/>
      <c r="O56" s="5"/>
      <c r="P56" s="5"/>
      <c r="Q56" s="5">
        <v>50000</v>
      </c>
      <c r="R56" s="1" t="s">
        <v>82</v>
      </c>
      <c r="S56" s="1" t="s">
        <v>81</v>
      </c>
      <c r="T56" s="1"/>
      <c r="U56" s="1"/>
      <c r="V56" s="1"/>
      <c r="W56" s="1" t="s">
        <v>56</v>
      </c>
      <c r="X56" s="4"/>
      <c r="Y56" s="4"/>
      <c r="Z56" s="6">
        <v>0</v>
      </c>
      <c r="AA56" s="4"/>
      <c r="AB56" s="4"/>
      <c r="AC56" s="1" t="s">
        <v>83</v>
      </c>
      <c r="AD56" s="1">
        <v>0</v>
      </c>
      <c r="AE56" s="1">
        <v>50000</v>
      </c>
      <c r="AF56" s="4" t="s">
        <v>84</v>
      </c>
      <c r="AG56" s="1" t="s">
        <v>60</v>
      </c>
      <c r="AH56" s="1"/>
      <c r="AI56" s="1" t="str">
        <f t="shared" si="7"/>
        <v>Watchlist</v>
      </c>
      <c r="AJ56" s="1" t="str">
        <f t="shared" si="8"/>
        <v>Scenario Only - No Close Date</v>
      </c>
      <c r="AK56" s="1" t="str">
        <f t="shared" si="9"/>
        <v>N</v>
      </c>
      <c r="AL56" s="5">
        <f>SUMIFS(SO_Mapping!$F:$F,SO_Mapping!$A:$A,$B56)</f>
        <v>0</v>
      </c>
      <c r="AM56" s="5" t="str">
        <f t="shared" si="10"/>
        <v>N</v>
      </c>
      <c r="AN56" s="5">
        <f t="shared" si="11"/>
        <v>50000</v>
      </c>
      <c r="AO56" s="1" t="str">
        <f t="shared" si="12"/>
        <v>No expected close date</v>
      </c>
      <c r="AP56" s="1" t="str">
        <f t="shared" si="13"/>
        <v/>
      </c>
      <c r="AQ56" s="1"/>
    </row>
    <row r="57" spans="1:43" ht="42">
      <c r="A57" s="1">
        <v>61</v>
      </c>
      <c r="B57" s="1" t="s">
        <v>242</v>
      </c>
      <c r="C57" s="1" t="s">
        <v>243</v>
      </c>
      <c r="D57" s="1" t="s">
        <v>209</v>
      </c>
      <c r="E57" s="1" t="s">
        <v>126</v>
      </c>
      <c r="F57" s="1" t="s">
        <v>63</v>
      </c>
      <c r="G57" s="1" t="s">
        <v>97</v>
      </c>
      <c r="H57" s="1" t="s">
        <v>81</v>
      </c>
      <c r="I57" s="1" t="s">
        <v>50</v>
      </c>
      <c r="J57" s="4"/>
      <c r="K57" s="5">
        <v>50000</v>
      </c>
      <c r="L57" s="6">
        <v>0.5</v>
      </c>
      <c r="M57" s="5">
        <v>25000</v>
      </c>
      <c r="N57" s="1"/>
      <c r="O57" s="5"/>
      <c r="P57" s="5"/>
      <c r="Q57" s="5">
        <v>50000</v>
      </c>
      <c r="R57" s="1" t="s">
        <v>82</v>
      </c>
      <c r="S57" s="1" t="s">
        <v>81</v>
      </c>
      <c r="T57" s="1"/>
      <c r="U57" s="1"/>
      <c r="V57" s="1"/>
      <c r="W57" s="1" t="s">
        <v>56</v>
      </c>
      <c r="X57" s="4"/>
      <c r="Y57" s="4"/>
      <c r="Z57" s="6">
        <v>0</v>
      </c>
      <c r="AA57" s="4"/>
      <c r="AB57" s="4"/>
      <c r="AC57" s="1" t="s">
        <v>83</v>
      </c>
      <c r="AD57" s="1">
        <v>0</v>
      </c>
      <c r="AE57" s="1">
        <v>50000</v>
      </c>
      <c r="AF57" s="4" t="s">
        <v>84</v>
      </c>
      <c r="AG57" s="1" t="s">
        <v>60</v>
      </c>
      <c r="AH57" s="1"/>
      <c r="AI57" s="1" t="str">
        <f t="shared" si="7"/>
        <v>Watchlist</v>
      </c>
      <c r="AJ57" s="1" t="str">
        <f t="shared" si="8"/>
        <v>Scenario Only - No Close Date</v>
      </c>
      <c r="AK57" s="1" t="str">
        <f t="shared" si="9"/>
        <v>N</v>
      </c>
      <c r="AL57" s="5">
        <f>SUMIFS(SO_Mapping!$F:$F,SO_Mapping!$A:$A,$B57)</f>
        <v>0</v>
      </c>
      <c r="AM57" s="5" t="str">
        <f t="shared" si="10"/>
        <v>N</v>
      </c>
      <c r="AN57" s="5">
        <f t="shared" si="11"/>
        <v>50000</v>
      </c>
      <c r="AO57" s="1" t="str">
        <f t="shared" si="12"/>
        <v>No expected close date</v>
      </c>
      <c r="AP57" s="1" t="str">
        <f t="shared" si="13"/>
        <v/>
      </c>
      <c r="AQ57" s="1"/>
    </row>
    <row r="58" spans="1:43" ht="42">
      <c r="A58" s="1">
        <v>62</v>
      </c>
      <c r="B58" s="1" t="s">
        <v>244</v>
      </c>
      <c r="C58" s="1" t="s">
        <v>245</v>
      </c>
      <c r="D58" s="1" t="s">
        <v>246</v>
      </c>
      <c r="E58" s="1" t="s">
        <v>106</v>
      </c>
      <c r="F58" s="1" t="s">
        <v>69</v>
      </c>
      <c r="G58" s="1" t="s">
        <v>108</v>
      </c>
      <c r="H58" s="1" t="s">
        <v>81</v>
      </c>
      <c r="I58" s="1" t="s">
        <v>50</v>
      </c>
      <c r="J58" s="4"/>
      <c r="K58" s="5">
        <v>23000</v>
      </c>
      <c r="L58" s="6">
        <v>1</v>
      </c>
      <c r="M58" s="5">
        <v>23000</v>
      </c>
      <c r="N58" s="1"/>
      <c r="O58" s="5"/>
      <c r="P58" s="5"/>
      <c r="Q58" s="5">
        <v>23000</v>
      </c>
      <c r="R58" s="1" t="s">
        <v>82</v>
      </c>
      <c r="S58" s="1" t="s">
        <v>81</v>
      </c>
      <c r="T58" s="1"/>
      <c r="U58" s="1"/>
      <c r="V58" s="1"/>
      <c r="W58" s="1" t="s">
        <v>56</v>
      </c>
      <c r="X58" s="4"/>
      <c r="Y58" s="4"/>
      <c r="Z58" s="6">
        <v>0</v>
      </c>
      <c r="AA58" s="4"/>
      <c r="AB58" s="4"/>
      <c r="AC58" s="1" t="s">
        <v>83</v>
      </c>
      <c r="AD58" s="1">
        <v>0</v>
      </c>
      <c r="AE58" s="1">
        <v>23000</v>
      </c>
      <c r="AF58" s="4" t="s">
        <v>84</v>
      </c>
      <c r="AG58" s="1" t="s">
        <v>60</v>
      </c>
      <c r="AH58" s="1"/>
      <c r="AI58" s="1" t="str">
        <f t="shared" si="7"/>
        <v>Watchlist</v>
      </c>
      <c r="AJ58" s="1" t="str">
        <f t="shared" si="8"/>
        <v>Scenario Only - No Close Date</v>
      </c>
      <c r="AK58" s="1" t="str">
        <f t="shared" si="9"/>
        <v>N</v>
      </c>
      <c r="AL58" s="5">
        <f>SUMIFS(SO_Mapping!$F:$F,SO_Mapping!$A:$A,$B58)</f>
        <v>0</v>
      </c>
      <c r="AM58" s="5" t="str">
        <f t="shared" si="10"/>
        <v>N</v>
      </c>
      <c r="AN58" s="5">
        <f t="shared" si="11"/>
        <v>23000</v>
      </c>
      <c r="AO58" s="1" t="str">
        <f t="shared" si="12"/>
        <v>No expected close date</v>
      </c>
      <c r="AP58" s="1" t="str">
        <f t="shared" si="13"/>
        <v/>
      </c>
      <c r="AQ58" s="1"/>
    </row>
    <row r="59" spans="1:43" ht="42">
      <c r="A59" s="1">
        <v>63</v>
      </c>
      <c r="B59" s="1" t="s">
        <v>247</v>
      </c>
      <c r="C59" s="1" t="s">
        <v>248</v>
      </c>
      <c r="D59" s="1" t="s">
        <v>122</v>
      </c>
      <c r="E59" s="1" t="s">
        <v>106</v>
      </c>
      <c r="F59" s="1" t="s">
        <v>107</v>
      </c>
      <c r="G59" s="1" t="s">
        <v>108</v>
      </c>
      <c r="H59" s="1" t="s">
        <v>179</v>
      </c>
      <c r="I59" s="1" t="s">
        <v>50</v>
      </c>
      <c r="J59" s="4"/>
      <c r="K59" s="5">
        <v>25000</v>
      </c>
      <c r="L59" s="6">
        <v>0.9</v>
      </c>
      <c r="M59" s="5">
        <v>22500</v>
      </c>
      <c r="N59" s="1"/>
      <c r="O59" s="5"/>
      <c r="P59" s="5"/>
      <c r="Q59" s="5">
        <v>25000</v>
      </c>
      <c r="R59" s="1" t="s">
        <v>82</v>
      </c>
      <c r="S59" s="1" t="s">
        <v>179</v>
      </c>
      <c r="T59" s="1"/>
      <c r="U59" s="1"/>
      <c r="V59" s="1"/>
      <c r="W59" s="1" t="s">
        <v>56</v>
      </c>
      <c r="X59" s="4"/>
      <c r="Y59" s="4"/>
      <c r="Z59" s="6">
        <v>0</v>
      </c>
      <c r="AA59" s="4"/>
      <c r="AB59" s="4"/>
      <c r="AC59" s="1" t="s">
        <v>83</v>
      </c>
      <c r="AD59" s="1">
        <v>0</v>
      </c>
      <c r="AE59" s="1">
        <v>25000</v>
      </c>
      <c r="AF59" s="4" t="s">
        <v>84</v>
      </c>
      <c r="AG59" s="1" t="s">
        <v>60</v>
      </c>
      <c r="AH59" s="1"/>
      <c r="AI59" s="1" t="str">
        <f t="shared" si="7"/>
        <v>Lost</v>
      </c>
      <c r="AJ59" s="1" t="str">
        <f t="shared" si="8"/>
        <v>Not Eligible - Lost</v>
      </c>
      <c r="AK59" s="1" t="str">
        <f t="shared" si="9"/>
        <v>N</v>
      </c>
      <c r="AL59" s="5">
        <f>SUMIFS(SO_Mapping!$F:$F,SO_Mapping!$A:$A,$B59)</f>
        <v>0</v>
      </c>
      <c r="AM59" s="5" t="str">
        <f t="shared" si="10"/>
        <v>N</v>
      </c>
      <c r="AN59" s="5">
        <f t="shared" si="11"/>
        <v>25000</v>
      </c>
      <c r="AO59" s="1" t="str">
        <f t="shared" si="12"/>
        <v>No expected close date</v>
      </c>
      <c r="AP59" s="1" t="str">
        <f t="shared" si="13"/>
        <v/>
      </c>
      <c r="AQ59" s="1"/>
    </row>
    <row r="60" spans="1:43" ht="42">
      <c r="A60" s="1">
        <v>64</v>
      </c>
      <c r="B60" s="1" t="s">
        <v>249</v>
      </c>
      <c r="C60" s="1" t="s">
        <v>250</v>
      </c>
      <c r="D60" s="1" t="s">
        <v>251</v>
      </c>
      <c r="E60" s="1" t="s">
        <v>96</v>
      </c>
      <c r="F60" s="1" t="s">
        <v>69</v>
      </c>
      <c r="G60" s="1" t="s">
        <v>97</v>
      </c>
      <c r="H60" s="1" t="s">
        <v>81</v>
      </c>
      <c r="I60" s="1" t="s">
        <v>50</v>
      </c>
      <c r="J60" s="4"/>
      <c r="K60" s="5">
        <v>25000</v>
      </c>
      <c r="L60" s="6">
        <v>0.9</v>
      </c>
      <c r="M60" s="5">
        <v>22500</v>
      </c>
      <c r="N60" s="1"/>
      <c r="O60" s="5"/>
      <c r="P60" s="5"/>
      <c r="Q60" s="5">
        <v>25000</v>
      </c>
      <c r="R60" s="1" t="s">
        <v>82</v>
      </c>
      <c r="S60" s="1" t="s">
        <v>81</v>
      </c>
      <c r="T60" s="1"/>
      <c r="U60" s="1"/>
      <c r="V60" s="1"/>
      <c r="W60" s="1" t="s">
        <v>56</v>
      </c>
      <c r="X60" s="4"/>
      <c r="Y60" s="4"/>
      <c r="Z60" s="6">
        <v>0</v>
      </c>
      <c r="AA60" s="4"/>
      <c r="AB60" s="4"/>
      <c r="AC60" s="1" t="s">
        <v>83</v>
      </c>
      <c r="AD60" s="1">
        <v>0</v>
      </c>
      <c r="AE60" s="1">
        <v>25000</v>
      </c>
      <c r="AF60" s="4" t="s">
        <v>84</v>
      </c>
      <c r="AG60" s="1" t="s">
        <v>60</v>
      </c>
      <c r="AH60" s="1"/>
      <c r="AI60" s="1" t="str">
        <f t="shared" si="7"/>
        <v>Watchlist</v>
      </c>
      <c r="AJ60" s="1" t="str">
        <f t="shared" si="8"/>
        <v>Scenario Only - No Close Date</v>
      </c>
      <c r="AK60" s="1" t="str">
        <f t="shared" si="9"/>
        <v>N</v>
      </c>
      <c r="AL60" s="5">
        <f>SUMIFS(SO_Mapping!$F:$F,SO_Mapping!$A:$A,$B60)</f>
        <v>0</v>
      </c>
      <c r="AM60" s="5" t="str">
        <f t="shared" si="10"/>
        <v>N</v>
      </c>
      <c r="AN60" s="5">
        <f t="shared" si="11"/>
        <v>25000</v>
      </c>
      <c r="AO60" s="1" t="str">
        <f t="shared" si="12"/>
        <v>No expected close date</v>
      </c>
      <c r="AP60" s="1" t="str">
        <f t="shared" si="13"/>
        <v/>
      </c>
      <c r="AQ60" s="1"/>
    </row>
    <row r="61" spans="1:43" ht="42">
      <c r="A61" s="1">
        <v>65</v>
      </c>
      <c r="B61" s="1" t="s">
        <v>252</v>
      </c>
      <c r="C61" s="1" t="s">
        <v>250</v>
      </c>
      <c r="D61" s="1" t="s">
        <v>251</v>
      </c>
      <c r="E61" s="1" t="s">
        <v>96</v>
      </c>
      <c r="F61" s="1" t="s">
        <v>63</v>
      </c>
      <c r="G61" s="1" t="s">
        <v>97</v>
      </c>
      <c r="H61" s="1" t="s">
        <v>81</v>
      </c>
      <c r="I61" s="1" t="s">
        <v>50</v>
      </c>
      <c r="J61" s="4"/>
      <c r="K61" s="5">
        <v>25000</v>
      </c>
      <c r="L61" s="6">
        <v>0.9</v>
      </c>
      <c r="M61" s="5">
        <v>22500</v>
      </c>
      <c r="N61" s="1"/>
      <c r="O61" s="5"/>
      <c r="P61" s="5"/>
      <c r="Q61" s="5">
        <v>25000</v>
      </c>
      <c r="R61" s="1" t="s">
        <v>82</v>
      </c>
      <c r="S61" s="1" t="s">
        <v>81</v>
      </c>
      <c r="T61" s="1"/>
      <c r="U61" s="1"/>
      <c r="V61" s="1"/>
      <c r="W61" s="1" t="s">
        <v>56</v>
      </c>
      <c r="X61" s="4"/>
      <c r="Y61" s="4"/>
      <c r="Z61" s="6">
        <v>0</v>
      </c>
      <c r="AA61" s="4"/>
      <c r="AB61" s="4"/>
      <c r="AC61" s="1" t="s">
        <v>83</v>
      </c>
      <c r="AD61" s="1">
        <v>0</v>
      </c>
      <c r="AE61" s="1">
        <v>25000</v>
      </c>
      <c r="AF61" s="4" t="s">
        <v>84</v>
      </c>
      <c r="AG61" s="1" t="s">
        <v>60</v>
      </c>
      <c r="AH61" s="1"/>
      <c r="AI61" s="1" t="str">
        <f t="shared" si="7"/>
        <v>Watchlist</v>
      </c>
      <c r="AJ61" s="1" t="str">
        <f t="shared" si="8"/>
        <v>Scenario Only - No Close Date</v>
      </c>
      <c r="AK61" s="1" t="str">
        <f t="shared" si="9"/>
        <v>N</v>
      </c>
      <c r="AL61" s="5">
        <f>SUMIFS(SO_Mapping!$F:$F,SO_Mapping!$A:$A,$B61)</f>
        <v>0</v>
      </c>
      <c r="AM61" s="5" t="str">
        <f t="shared" si="10"/>
        <v>N</v>
      </c>
      <c r="AN61" s="5">
        <f t="shared" si="11"/>
        <v>25000</v>
      </c>
      <c r="AO61" s="1" t="str">
        <f t="shared" si="12"/>
        <v>No expected close date</v>
      </c>
      <c r="AP61" s="1" t="str">
        <f t="shared" si="13"/>
        <v/>
      </c>
      <c r="AQ61" s="1"/>
    </row>
    <row r="62" spans="1:43" ht="42">
      <c r="A62" s="1">
        <v>66</v>
      </c>
      <c r="B62" s="1" t="s">
        <v>253</v>
      </c>
      <c r="C62" s="1" t="s">
        <v>250</v>
      </c>
      <c r="D62" s="1" t="s">
        <v>251</v>
      </c>
      <c r="E62" s="1" t="s">
        <v>96</v>
      </c>
      <c r="F62" s="1" t="s">
        <v>47</v>
      </c>
      <c r="G62" s="1" t="s">
        <v>97</v>
      </c>
      <c r="H62" s="1" t="s">
        <v>81</v>
      </c>
      <c r="I62" s="1" t="s">
        <v>50</v>
      </c>
      <c r="J62" s="4"/>
      <c r="K62" s="5">
        <v>25000</v>
      </c>
      <c r="L62" s="6">
        <v>0.9</v>
      </c>
      <c r="M62" s="5">
        <v>22500</v>
      </c>
      <c r="N62" s="1"/>
      <c r="O62" s="5"/>
      <c r="P62" s="5"/>
      <c r="Q62" s="5">
        <v>25000</v>
      </c>
      <c r="R62" s="1" t="s">
        <v>82</v>
      </c>
      <c r="S62" s="1" t="s">
        <v>81</v>
      </c>
      <c r="T62" s="1"/>
      <c r="U62" s="1"/>
      <c r="V62" s="1"/>
      <c r="W62" s="1" t="s">
        <v>56</v>
      </c>
      <c r="X62" s="4"/>
      <c r="Y62" s="4"/>
      <c r="Z62" s="6">
        <v>0</v>
      </c>
      <c r="AA62" s="4"/>
      <c r="AB62" s="4"/>
      <c r="AC62" s="1" t="s">
        <v>83</v>
      </c>
      <c r="AD62" s="1">
        <v>0</v>
      </c>
      <c r="AE62" s="1">
        <v>25000</v>
      </c>
      <c r="AF62" s="4" t="s">
        <v>84</v>
      </c>
      <c r="AG62" s="1" t="s">
        <v>60</v>
      </c>
      <c r="AH62" s="1"/>
      <c r="AI62" s="1" t="str">
        <f t="shared" si="7"/>
        <v>Watchlist</v>
      </c>
      <c r="AJ62" s="1" t="str">
        <f t="shared" si="8"/>
        <v>Scenario Only - No Close Date</v>
      </c>
      <c r="AK62" s="1" t="str">
        <f t="shared" si="9"/>
        <v>N</v>
      </c>
      <c r="AL62" s="5">
        <f>SUMIFS(SO_Mapping!$F:$F,SO_Mapping!$A:$A,$B62)</f>
        <v>0</v>
      </c>
      <c r="AM62" s="5" t="str">
        <f t="shared" si="10"/>
        <v>N</v>
      </c>
      <c r="AN62" s="5">
        <f t="shared" si="11"/>
        <v>25000</v>
      </c>
      <c r="AO62" s="1" t="str">
        <f t="shared" si="12"/>
        <v>No expected close date</v>
      </c>
      <c r="AP62" s="1" t="str">
        <f t="shared" si="13"/>
        <v/>
      </c>
      <c r="AQ62" s="1"/>
    </row>
    <row r="63" spans="1:43" ht="42">
      <c r="A63" s="1">
        <v>67</v>
      </c>
      <c r="B63" s="1" t="s">
        <v>254</v>
      </c>
      <c r="C63" s="1" t="s">
        <v>255</v>
      </c>
      <c r="D63" s="1" t="s">
        <v>246</v>
      </c>
      <c r="E63" s="1" t="s">
        <v>106</v>
      </c>
      <c r="F63" s="1" t="s">
        <v>69</v>
      </c>
      <c r="G63" s="1" t="s">
        <v>108</v>
      </c>
      <c r="H63" s="1" t="s">
        <v>81</v>
      </c>
      <c r="I63" s="1" t="s">
        <v>50</v>
      </c>
      <c r="J63" s="4"/>
      <c r="K63" s="5">
        <v>30000</v>
      </c>
      <c r="L63" s="6">
        <v>0.75</v>
      </c>
      <c r="M63" s="5">
        <v>22500</v>
      </c>
      <c r="N63" s="1"/>
      <c r="O63" s="5"/>
      <c r="P63" s="5"/>
      <c r="Q63" s="5">
        <v>30000</v>
      </c>
      <c r="R63" s="1" t="s">
        <v>82</v>
      </c>
      <c r="S63" s="1" t="s">
        <v>81</v>
      </c>
      <c r="T63" s="1"/>
      <c r="U63" s="1"/>
      <c r="V63" s="1"/>
      <c r="W63" s="1" t="s">
        <v>56</v>
      </c>
      <c r="X63" s="4"/>
      <c r="Y63" s="4"/>
      <c r="Z63" s="6">
        <v>0</v>
      </c>
      <c r="AA63" s="4"/>
      <c r="AB63" s="4"/>
      <c r="AC63" s="1" t="s">
        <v>83</v>
      </c>
      <c r="AD63" s="1">
        <v>0</v>
      </c>
      <c r="AE63" s="1">
        <v>30000</v>
      </c>
      <c r="AF63" s="4" t="s">
        <v>84</v>
      </c>
      <c r="AG63" s="1" t="s">
        <v>60</v>
      </c>
      <c r="AH63" s="1"/>
      <c r="AI63" s="1" t="str">
        <f t="shared" si="7"/>
        <v>Watchlist</v>
      </c>
      <c r="AJ63" s="1" t="str">
        <f t="shared" si="8"/>
        <v>Scenario Only - No Close Date</v>
      </c>
      <c r="AK63" s="1" t="str">
        <f t="shared" si="9"/>
        <v>N</v>
      </c>
      <c r="AL63" s="5">
        <f>SUMIFS(SO_Mapping!$F:$F,SO_Mapping!$A:$A,$B63)</f>
        <v>0</v>
      </c>
      <c r="AM63" s="5" t="str">
        <f t="shared" si="10"/>
        <v>N</v>
      </c>
      <c r="AN63" s="5">
        <f t="shared" si="11"/>
        <v>30000</v>
      </c>
      <c r="AO63" s="1" t="str">
        <f t="shared" si="12"/>
        <v>No expected close date</v>
      </c>
      <c r="AP63" s="1" t="str">
        <f t="shared" si="13"/>
        <v/>
      </c>
      <c r="AQ63" s="1"/>
    </row>
    <row r="64" spans="1:43" ht="42">
      <c r="A64" s="1">
        <v>68</v>
      </c>
      <c r="B64" s="1" t="s">
        <v>256</v>
      </c>
      <c r="C64" s="1" t="s">
        <v>255</v>
      </c>
      <c r="D64" s="1" t="s">
        <v>246</v>
      </c>
      <c r="E64" s="1" t="s">
        <v>106</v>
      </c>
      <c r="F64" s="1" t="s">
        <v>63</v>
      </c>
      <c r="G64" s="1" t="s">
        <v>108</v>
      </c>
      <c r="H64" s="1" t="s">
        <v>81</v>
      </c>
      <c r="I64" s="1" t="s">
        <v>50</v>
      </c>
      <c r="J64" s="4"/>
      <c r="K64" s="5">
        <v>30000</v>
      </c>
      <c r="L64" s="6">
        <v>0.75</v>
      </c>
      <c r="M64" s="5">
        <v>22500</v>
      </c>
      <c r="N64" s="1"/>
      <c r="O64" s="5"/>
      <c r="P64" s="5"/>
      <c r="Q64" s="5">
        <v>30000</v>
      </c>
      <c r="R64" s="1" t="s">
        <v>82</v>
      </c>
      <c r="S64" s="1" t="s">
        <v>81</v>
      </c>
      <c r="T64" s="1"/>
      <c r="U64" s="1"/>
      <c r="V64" s="1"/>
      <c r="W64" s="1" t="s">
        <v>56</v>
      </c>
      <c r="X64" s="4"/>
      <c r="Y64" s="4"/>
      <c r="Z64" s="6">
        <v>0</v>
      </c>
      <c r="AA64" s="4"/>
      <c r="AB64" s="4"/>
      <c r="AC64" s="1" t="s">
        <v>83</v>
      </c>
      <c r="AD64" s="1">
        <v>0</v>
      </c>
      <c r="AE64" s="1">
        <v>30000</v>
      </c>
      <c r="AF64" s="4" t="s">
        <v>84</v>
      </c>
      <c r="AG64" s="1" t="s">
        <v>60</v>
      </c>
      <c r="AH64" s="1"/>
      <c r="AI64" s="1" t="str">
        <f t="shared" si="7"/>
        <v>Watchlist</v>
      </c>
      <c r="AJ64" s="1" t="str">
        <f t="shared" si="8"/>
        <v>Scenario Only - No Close Date</v>
      </c>
      <c r="AK64" s="1" t="str">
        <f t="shared" si="9"/>
        <v>N</v>
      </c>
      <c r="AL64" s="5">
        <f>SUMIFS(SO_Mapping!$F:$F,SO_Mapping!$A:$A,$B64)</f>
        <v>0</v>
      </c>
      <c r="AM64" s="5" t="str">
        <f t="shared" si="10"/>
        <v>N</v>
      </c>
      <c r="AN64" s="5">
        <f t="shared" si="11"/>
        <v>30000</v>
      </c>
      <c r="AO64" s="1" t="str">
        <f t="shared" si="12"/>
        <v>No expected close date</v>
      </c>
      <c r="AP64" s="1" t="str">
        <f t="shared" si="13"/>
        <v/>
      </c>
      <c r="AQ64" s="1"/>
    </row>
    <row r="65" spans="1:43" ht="42">
      <c r="A65" s="1">
        <v>69</v>
      </c>
      <c r="B65" s="1" t="s">
        <v>257</v>
      </c>
      <c r="C65" s="1" t="s">
        <v>255</v>
      </c>
      <c r="D65" s="1" t="s">
        <v>246</v>
      </c>
      <c r="E65" s="1" t="s">
        <v>106</v>
      </c>
      <c r="F65" s="1" t="s">
        <v>47</v>
      </c>
      <c r="G65" s="1" t="s">
        <v>108</v>
      </c>
      <c r="H65" s="1" t="s">
        <v>81</v>
      </c>
      <c r="I65" s="1" t="s">
        <v>50</v>
      </c>
      <c r="J65" s="4"/>
      <c r="K65" s="5">
        <v>30000</v>
      </c>
      <c r="L65" s="6">
        <v>0.75</v>
      </c>
      <c r="M65" s="5">
        <v>22500</v>
      </c>
      <c r="N65" s="1"/>
      <c r="O65" s="5"/>
      <c r="P65" s="5"/>
      <c r="Q65" s="5">
        <v>30000</v>
      </c>
      <c r="R65" s="1" t="s">
        <v>82</v>
      </c>
      <c r="S65" s="1" t="s">
        <v>81</v>
      </c>
      <c r="T65" s="1"/>
      <c r="U65" s="1"/>
      <c r="V65" s="1"/>
      <c r="W65" s="1" t="s">
        <v>56</v>
      </c>
      <c r="X65" s="4"/>
      <c r="Y65" s="4"/>
      <c r="Z65" s="6">
        <v>0</v>
      </c>
      <c r="AA65" s="4"/>
      <c r="AB65" s="4"/>
      <c r="AC65" s="1" t="s">
        <v>83</v>
      </c>
      <c r="AD65" s="1">
        <v>0</v>
      </c>
      <c r="AE65" s="1">
        <v>30000</v>
      </c>
      <c r="AF65" s="4" t="s">
        <v>84</v>
      </c>
      <c r="AG65" s="1" t="s">
        <v>60</v>
      </c>
      <c r="AH65" s="1"/>
      <c r="AI65" s="1" t="str">
        <f t="shared" si="7"/>
        <v>Watchlist</v>
      </c>
      <c r="AJ65" s="1" t="str">
        <f t="shared" si="8"/>
        <v>Scenario Only - No Close Date</v>
      </c>
      <c r="AK65" s="1" t="str">
        <f t="shared" si="9"/>
        <v>N</v>
      </c>
      <c r="AL65" s="5">
        <f>SUMIFS(SO_Mapping!$F:$F,SO_Mapping!$A:$A,$B65)</f>
        <v>0</v>
      </c>
      <c r="AM65" s="5" t="str">
        <f t="shared" si="10"/>
        <v>N</v>
      </c>
      <c r="AN65" s="5">
        <f t="shared" si="11"/>
        <v>30000</v>
      </c>
      <c r="AO65" s="1" t="str">
        <f t="shared" si="12"/>
        <v>No expected close date</v>
      </c>
      <c r="AP65" s="1" t="str">
        <f t="shared" si="13"/>
        <v/>
      </c>
      <c r="AQ65" s="1"/>
    </row>
    <row r="66" spans="1:43" ht="42">
      <c r="A66" s="1">
        <v>70</v>
      </c>
      <c r="B66" s="1" t="s">
        <v>258</v>
      </c>
      <c r="C66" s="1" t="s">
        <v>255</v>
      </c>
      <c r="D66" s="1" t="s">
        <v>246</v>
      </c>
      <c r="E66" s="1" t="s">
        <v>106</v>
      </c>
      <c r="F66" s="1" t="s">
        <v>69</v>
      </c>
      <c r="G66" s="1" t="s">
        <v>108</v>
      </c>
      <c r="H66" s="1" t="s">
        <v>81</v>
      </c>
      <c r="I66" s="1" t="s">
        <v>50</v>
      </c>
      <c r="J66" s="4"/>
      <c r="K66" s="5">
        <v>30000</v>
      </c>
      <c r="L66" s="6">
        <v>0.75</v>
      </c>
      <c r="M66" s="5">
        <v>22500</v>
      </c>
      <c r="N66" s="1"/>
      <c r="O66" s="5"/>
      <c r="P66" s="5"/>
      <c r="Q66" s="5">
        <v>30000</v>
      </c>
      <c r="R66" s="1" t="s">
        <v>82</v>
      </c>
      <c r="S66" s="1" t="s">
        <v>81</v>
      </c>
      <c r="T66" s="1"/>
      <c r="U66" s="1"/>
      <c r="V66" s="1"/>
      <c r="W66" s="1" t="s">
        <v>56</v>
      </c>
      <c r="X66" s="4"/>
      <c r="Y66" s="4"/>
      <c r="Z66" s="6">
        <v>0</v>
      </c>
      <c r="AA66" s="4"/>
      <c r="AB66" s="4"/>
      <c r="AC66" s="1" t="s">
        <v>83</v>
      </c>
      <c r="AD66" s="1">
        <v>0</v>
      </c>
      <c r="AE66" s="1">
        <v>30000</v>
      </c>
      <c r="AF66" s="4" t="s">
        <v>84</v>
      </c>
      <c r="AG66" s="1" t="s">
        <v>60</v>
      </c>
      <c r="AH66" s="1"/>
      <c r="AI66" s="1" t="str">
        <f t="shared" ref="AI66:AI97" si="14">IF(OR($H66="Lost",$H66="Dead"),"Lost",IF($I66&lt;&gt;"Y","Excluded",IF($N66&lt;&gt;"","Converted/Partially Converted",IF($J66="","Watchlist","Active"))))</f>
        <v>Watchlist</v>
      </c>
      <c r="AJ66" s="1" t="str">
        <f t="shared" ref="AJ66:AJ97" si="15">IF($I66&lt;&gt;"Y","Not Eligible - Excluded",IF(OR($H66="Lost",$H66="Dead"),"Not Eligible - Lost",IF($J66="","Scenario Only - No Close Date",IF($X66="","Scenario Only - No Ship Date",IF($Y66="","Scenario Only - No Cash Date",IF($AM66="Y","Not Eligible - SO Mapping Review","Eligible"))))))</f>
        <v>Scenario Only - No Close Date</v>
      </c>
      <c r="AK66" s="1" t="str">
        <f t="shared" ref="AK66:AK97" si="16">IF($AJ66="Eligible","Y","N")</f>
        <v>N</v>
      </c>
      <c r="AL66" s="5">
        <f>SUMIFS(SO_Mapping!$F:$F,SO_Mapping!$A:$A,$B66)</f>
        <v>0</v>
      </c>
      <c r="AM66" s="5" t="str">
        <f t="shared" ref="AM66:AM97" si="17">IF(AND($N66&lt;&gt;"",$AL66=0),"Y",IF(ABS($O66-$AL66)&gt;1,"Y","N"))</f>
        <v>N</v>
      </c>
      <c r="AN66" s="5">
        <f t="shared" ref="AN66:AN97" si="18">MAX(0,$K66-$AL66)</f>
        <v>30000</v>
      </c>
      <c r="AO66" s="1" t="str">
        <f t="shared" ref="AO66:AO97" si="19">IF($AK66="Y","Cash eligible",IF($I66&lt;&gt;"Y","Excluded by control flag",IF($J66="","No expected close date",IF($X66="","No ship/invoice timing",IF($Y66="","No cash timing",IF($AM66="Y","SO mapping must be resolved","Review required"))))))</f>
        <v>No expected close date</v>
      </c>
      <c r="AP66" s="1" t="str">
        <f t="shared" ref="AP66:AP97" si="20">IF($AK66="Y",TEXT($Y66,"yyyy-mm-dd"),"")</f>
        <v/>
      </c>
      <c r="AQ66" s="1"/>
    </row>
    <row r="67" spans="1:43" ht="42">
      <c r="A67" s="1">
        <v>107</v>
      </c>
      <c r="B67" s="1" t="s">
        <v>259</v>
      </c>
      <c r="C67" s="1" t="s">
        <v>260</v>
      </c>
      <c r="D67" s="1" t="s">
        <v>261</v>
      </c>
      <c r="E67" s="1" t="s">
        <v>106</v>
      </c>
      <c r="F67" s="1" t="s">
        <v>47</v>
      </c>
      <c r="G67" s="1" t="s">
        <v>108</v>
      </c>
      <c r="H67" s="1" t="s">
        <v>81</v>
      </c>
      <c r="I67" s="1" t="s">
        <v>50</v>
      </c>
      <c r="J67" s="4"/>
      <c r="K67" s="5">
        <v>25000</v>
      </c>
      <c r="L67" s="6">
        <v>0.9</v>
      </c>
      <c r="M67" s="5">
        <v>22500</v>
      </c>
      <c r="N67" s="1"/>
      <c r="O67" s="5"/>
      <c r="P67" s="5"/>
      <c r="Q67" s="5">
        <v>25000</v>
      </c>
      <c r="R67" s="1" t="s">
        <v>82</v>
      </c>
      <c r="S67" s="1" t="s">
        <v>81</v>
      </c>
      <c r="T67" s="1"/>
      <c r="U67" s="1"/>
      <c r="V67" s="1"/>
      <c r="W67" s="1" t="s">
        <v>56</v>
      </c>
      <c r="X67" s="4"/>
      <c r="Y67" s="4"/>
      <c r="Z67" s="6">
        <v>0</v>
      </c>
      <c r="AA67" s="4"/>
      <c r="AB67" s="4"/>
      <c r="AC67" s="1" t="s">
        <v>83</v>
      </c>
      <c r="AD67" s="1">
        <v>0</v>
      </c>
      <c r="AE67" s="1">
        <v>25000</v>
      </c>
      <c r="AF67" s="4" t="s">
        <v>84</v>
      </c>
      <c r="AG67" s="1" t="s">
        <v>60</v>
      </c>
      <c r="AH67" s="1"/>
      <c r="AI67" s="1" t="str">
        <f t="shared" si="14"/>
        <v>Watchlist</v>
      </c>
      <c r="AJ67" s="1" t="str">
        <f t="shared" si="15"/>
        <v>Scenario Only - No Close Date</v>
      </c>
      <c r="AK67" s="1" t="str">
        <f t="shared" si="16"/>
        <v>N</v>
      </c>
      <c r="AL67" s="5">
        <f>SUMIFS(SO_Mapping!$F:$F,SO_Mapping!$A:$A,$B67)</f>
        <v>0</v>
      </c>
      <c r="AM67" s="5" t="str">
        <f t="shared" si="17"/>
        <v>N</v>
      </c>
      <c r="AN67" s="5">
        <f t="shared" si="18"/>
        <v>25000</v>
      </c>
      <c r="AO67" s="1" t="str">
        <f t="shared" si="19"/>
        <v>No expected close date</v>
      </c>
      <c r="AP67" s="1" t="str">
        <f t="shared" si="20"/>
        <v/>
      </c>
      <c r="AQ67" s="1"/>
    </row>
    <row r="68" spans="1:43" ht="42">
      <c r="A68" s="1">
        <v>108</v>
      </c>
      <c r="B68" s="1" t="s">
        <v>262</v>
      </c>
      <c r="C68" s="1" t="s">
        <v>263</v>
      </c>
      <c r="D68" s="1" t="s">
        <v>261</v>
      </c>
      <c r="E68" s="1" t="s">
        <v>106</v>
      </c>
      <c r="F68" s="1" t="s">
        <v>47</v>
      </c>
      <c r="G68" s="1" t="s">
        <v>108</v>
      </c>
      <c r="H68" s="1" t="s">
        <v>81</v>
      </c>
      <c r="I68" s="1" t="s">
        <v>50</v>
      </c>
      <c r="J68" s="4"/>
      <c r="K68" s="5">
        <v>25000</v>
      </c>
      <c r="L68" s="6">
        <v>0.9</v>
      </c>
      <c r="M68" s="5">
        <v>22500</v>
      </c>
      <c r="N68" s="1"/>
      <c r="O68" s="5"/>
      <c r="P68" s="5"/>
      <c r="Q68" s="5">
        <v>25000</v>
      </c>
      <c r="R68" s="1" t="s">
        <v>82</v>
      </c>
      <c r="S68" s="1" t="s">
        <v>81</v>
      </c>
      <c r="T68" s="1"/>
      <c r="U68" s="1"/>
      <c r="V68" s="1"/>
      <c r="W68" s="1" t="s">
        <v>56</v>
      </c>
      <c r="X68" s="4"/>
      <c r="Y68" s="4"/>
      <c r="Z68" s="6">
        <v>0</v>
      </c>
      <c r="AA68" s="4"/>
      <c r="AB68" s="4"/>
      <c r="AC68" s="1" t="s">
        <v>83</v>
      </c>
      <c r="AD68" s="1">
        <v>0</v>
      </c>
      <c r="AE68" s="1">
        <v>25000</v>
      </c>
      <c r="AF68" s="4" t="s">
        <v>84</v>
      </c>
      <c r="AG68" s="1" t="s">
        <v>60</v>
      </c>
      <c r="AH68" s="1"/>
      <c r="AI68" s="1" t="str">
        <f t="shared" si="14"/>
        <v>Watchlist</v>
      </c>
      <c r="AJ68" s="1" t="str">
        <f t="shared" si="15"/>
        <v>Scenario Only - No Close Date</v>
      </c>
      <c r="AK68" s="1" t="str">
        <f t="shared" si="16"/>
        <v>N</v>
      </c>
      <c r="AL68" s="5">
        <f>SUMIFS(SO_Mapping!$F:$F,SO_Mapping!$A:$A,$B68)</f>
        <v>0</v>
      </c>
      <c r="AM68" s="5" t="str">
        <f t="shared" si="17"/>
        <v>N</v>
      </c>
      <c r="AN68" s="5">
        <f t="shared" si="18"/>
        <v>25000</v>
      </c>
      <c r="AO68" s="1" t="str">
        <f t="shared" si="19"/>
        <v>No expected close date</v>
      </c>
      <c r="AP68" s="1" t="str">
        <f t="shared" si="20"/>
        <v/>
      </c>
      <c r="AQ68" s="1"/>
    </row>
    <row r="69" spans="1:43" ht="42">
      <c r="A69" s="1">
        <v>109</v>
      </c>
      <c r="B69" s="1" t="s">
        <v>264</v>
      </c>
      <c r="C69" s="1" t="s">
        <v>265</v>
      </c>
      <c r="D69" s="1" t="s">
        <v>261</v>
      </c>
      <c r="E69" s="1" t="s">
        <v>106</v>
      </c>
      <c r="F69" s="1" t="s">
        <v>47</v>
      </c>
      <c r="G69" s="1" t="s">
        <v>108</v>
      </c>
      <c r="H69" s="1" t="s">
        <v>81</v>
      </c>
      <c r="I69" s="1" t="s">
        <v>50</v>
      </c>
      <c r="J69" s="4"/>
      <c r="K69" s="5">
        <v>25000</v>
      </c>
      <c r="L69" s="6">
        <v>0.9</v>
      </c>
      <c r="M69" s="5">
        <v>22500</v>
      </c>
      <c r="N69" s="1"/>
      <c r="O69" s="5"/>
      <c r="P69" s="5"/>
      <c r="Q69" s="5">
        <v>25000</v>
      </c>
      <c r="R69" s="1" t="s">
        <v>82</v>
      </c>
      <c r="S69" s="1" t="s">
        <v>81</v>
      </c>
      <c r="T69" s="1"/>
      <c r="U69" s="1"/>
      <c r="V69" s="1"/>
      <c r="W69" s="1" t="s">
        <v>56</v>
      </c>
      <c r="X69" s="4"/>
      <c r="Y69" s="4"/>
      <c r="Z69" s="6">
        <v>0</v>
      </c>
      <c r="AA69" s="4"/>
      <c r="AB69" s="4"/>
      <c r="AC69" s="1" t="s">
        <v>83</v>
      </c>
      <c r="AD69" s="1">
        <v>0</v>
      </c>
      <c r="AE69" s="1">
        <v>25000</v>
      </c>
      <c r="AF69" s="4" t="s">
        <v>84</v>
      </c>
      <c r="AG69" s="1" t="s">
        <v>60</v>
      </c>
      <c r="AH69" s="1"/>
      <c r="AI69" s="1" t="str">
        <f t="shared" si="14"/>
        <v>Watchlist</v>
      </c>
      <c r="AJ69" s="1" t="str">
        <f t="shared" si="15"/>
        <v>Scenario Only - No Close Date</v>
      </c>
      <c r="AK69" s="1" t="str">
        <f t="shared" si="16"/>
        <v>N</v>
      </c>
      <c r="AL69" s="5">
        <f>SUMIFS(SO_Mapping!$F:$F,SO_Mapping!$A:$A,$B69)</f>
        <v>0</v>
      </c>
      <c r="AM69" s="5" t="str">
        <f t="shared" si="17"/>
        <v>N</v>
      </c>
      <c r="AN69" s="5">
        <f t="shared" si="18"/>
        <v>25000</v>
      </c>
      <c r="AO69" s="1" t="str">
        <f t="shared" si="19"/>
        <v>No expected close date</v>
      </c>
      <c r="AP69" s="1" t="str">
        <f t="shared" si="20"/>
        <v/>
      </c>
      <c r="AQ69" s="1"/>
    </row>
    <row r="70" spans="1:43" ht="42">
      <c r="A70" s="1">
        <v>110</v>
      </c>
      <c r="B70" s="1" t="s">
        <v>266</v>
      </c>
      <c r="C70" s="1" t="s">
        <v>267</v>
      </c>
      <c r="D70" s="1" t="s">
        <v>261</v>
      </c>
      <c r="E70" s="1" t="s">
        <v>106</v>
      </c>
      <c r="F70" s="1" t="s">
        <v>47</v>
      </c>
      <c r="G70" s="1" t="s">
        <v>108</v>
      </c>
      <c r="H70" s="1" t="s">
        <v>81</v>
      </c>
      <c r="I70" s="1" t="s">
        <v>50</v>
      </c>
      <c r="J70" s="4"/>
      <c r="K70" s="5">
        <v>25000</v>
      </c>
      <c r="L70" s="6">
        <v>0.9</v>
      </c>
      <c r="M70" s="5">
        <v>22500</v>
      </c>
      <c r="N70" s="1"/>
      <c r="O70" s="5"/>
      <c r="P70" s="5"/>
      <c r="Q70" s="5">
        <v>25000</v>
      </c>
      <c r="R70" s="1" t="s">
        <v>82</v>
      </c>
      <c r="S70" s="1" t="s">
        <v>81</v>
      </c>
      <c r="T70" s="1"/>
      <c r="U70" s="1"/>
      <c r="V70" s="1"/>
      <c r="W70" s="1" t="s">
        <v>56</v>
      </c>
      <c r="X70" s="4"/>
      <c r="Y70" s="4"/>
      <c r="Z70" s="6">
        <v>0</v>
      </c>
      <c r="AA70" s="4"/>
      <c r="AB70" s="4"/>
      <c r="AC70" s="1" t="s">
        <v>83</v>
      </c>
      <c r="AD70" s="1">
        <v>0</v>
      </c>
      <c r="AE70" s="1">
        <v>25000</v>
      </c>
      <c r="AF70" s="4" t="s">
        <v>84</v>
      </c>
      <c r="AG70" s="1" t="s">
        <v>60</v>
      </c>
      <c r="AH70" s="1"/>
      <c r="AI70" s="1" t="str">
        <f t="shared" si="14"/>
        <v>Watchlist</v>
      </c>
      <c r="AJ70" s="1" t="str">
        <f t="shared" si="15"/>
        <v>Scenario Only - No Close Date</v>
      </c>
      <c r="AK70" s="1" t="str">
        <f t="shared" si="16"/>
        <v>N</v>
      </c>
      <c r="AL70" s="5">
        <f>SUMIFS(SO_Mapping!$F:$F,SO_Mapping!$A:$A,$B70)</f>
        <v>0</v>
      </c>
      <c r="AM70" s="5" t="str">
        <f t="shared" si="17"/>
        <v>N</v>
      </c>
      <c r="AN70" s="5">
        <f t="shared" si="18"/>
        <v>25000</v>
      </c>
      <c r="AO70" s="1" t="str">
        <f t="shared" si="19"/>
        <v>No expected close date</v>
      </c>
      <c r="AP70" s="1" t="str">
        <f t="shared" si="20"/>
        <v/>
      </c>
      <c r="AQ70" s="1"/>
    </row>
    <row r="71" spans="1:43" ht="42">
      <c r="A71" s="1">
        <v>111</v>
      </c>
      <c r="B71" s="1" t="s">
        <v>268</v>
      </c>
      <c r="C71" s="1" t="s">
        <v>269</v>
      </c>
      <c r="D71" s="1" t="s">
        <v>261</v>
      </c>
      <c r="E71" s="1" t="s">
        <v>106</v>
      </c>
      <c r="F71" s="1" t="s">
        <v>47</v>
      </c>
      <c r="G71" s="1" t="s">
        <v>108</v>
      </c>
      <c r="H71" s="1" t="s">
        <v>81</v>
      </c>
      <c r="I71" s="1" t="s">
        <v>50</v>
      </c>
      <c r="J71" s="4"/>
      <c r="K71" s="5">
        <v>25000</v>
      </c>
      <c r="L71" s="6">
        <v>0.9</v>
      </c>
      <c r="M71" s="5">
        <v>22500</v>
      </c>
      <c r="N71" s="1"/>
      <c r="O71" s="5"/>
      <c r="P71" s="5"/>
      <c r="Q71" s="5">
        <v>25000</v>
      </c>
      <c r="R71" s="1" t="s">
        <v>82</v>
      </c>
      <c r="S71" s="1" t="s">
        <v>81</v>
      </c>
      <c r="T71" s="1"/>
      <c r="U71" s="1"/>
      <c r="V71" s="1"/>
      <c r="W71" s="1" t="s">
        <v>56</v>
      </c>
      <c r="X71" s="4"/>
      <c r="Y71" s="4"/>
      <c r="Z71" s="6">
        <v>0</v>
      </c>
      <c r="AA71" s="4"/>
      <c r="AB71" s="4"/>
      <c r="AC71" s="1" t="s">
        <v>83</v>
      </c>
      <c r="AD71" s="1">
        <v>0</v>
      </c>
      <c r="AE71" s="1">
        <v>25000</v>
      </c>
      <c r="AF71" s="4" t="s">
        <v>84</v>
      </c>
      <c r="AG71" s="1" t="s">
        <v>60</v>
      </c>
      <c r="AH71" s="1"/>
      <c r="AI71" s="1" t="str">
        <f t="shared" si="14"/>
        <v>Watchlist</v>
      </c>
      <c r="AJ71" s="1" t="str">
        <f t="shared" si="15"/>
        <v>Scenario Only - No Close Date</v>
      </c>
      <c r="AK71" s="1" t="str">
        <f t="shared" si="16"/>
        <v>N</v>
      </c>
      <c r="AL71" s="5">
        <f>SUMIFS(SO_Mapping!$F:$F,SO_Mapping!$A:$A,$B71)</f>
        <v>0</v>
      </c>
      <c r="AM71" s="5" t="str">
        <f t="shared" si="17"/>
        <v>N</v>
      </c>
      <c r="AN71" s="5">
        <f t="shared" si="18"/>
        <v>25000</v>
      </c>
      <c r="AO71" s="1" t="str">
        <f t="shared" si="19"/>
        <v>No expected close date</v>
      </c>
      <c r="AP71" s="1" t="str">
        <f t="shared" si="20"/>
        <v/>
      </c>
      <c r="AQ71" s="1"/>
    </row>
    <row r="72" spans="1:43" ht="56">
      <c r="A72" s="1">
        <v>71</v>
      </c>
      <c r="B72" s="1" t="s">
        <v>270</v>
      </c>
      <c r="C72" s="1" t="s">
        <v>271</v>
      </c>
      <c r="D72" s="1" t="s">
        <v>272</v>
      </c>
      <c r="E72" s="1" t="s">
        <v>118</v>
      </c>
      <c r="F72" s="1" t="s">
        <v>69</v>
      </c>
      <c r="G72" s="1" t="s">
        <v>48</v>
      </c>
      <c r="H72" s="1" t="s">
        <v>49</v>
      </c>
      <c r="I72" s="1" t="s">
        <v>50</v>
      </c>
      <c r="J72" s="4" t="s">
        <v>273</v>
      </c>
      <c r="K72" s="5">
        <v>22000</v>
      </c>
      <c r="L72" s="6">
        <v>1</v>
      </c>
      <c r="M72" s="5">
        <v>22000</v>
      </c>
      <c r="N72" s="1" t="s">
        <v>274</v>
      </c>
      <c r="O72" s="5">
        <v>29000</v>
      </c>
      <c r="P72" s="5" t="s">
        <v>273</v>
      </c>
      <c r="Q72" s="5"/>
      <c r="R72" s="1" t="s">
        <v>275</v>
      </c>
      <c r="S72" s="1" t="s">
        <v>101</v>
      </c>
      <c r="T72" s="1"/>
      <c r="U72" s="1"/>
      <c r="V72" s="1"/>
      <c r="W72" s="1" t="s">
        <v>112</v>
      </c>
      <c r="X72" s="4" t="s">
        <v>273</v>
      </c>
      <c r="Y72" s="4" t="s">
        <v>132</v>
      </c>
      <c r="Z72" s="6">
        <v>0</v>
      </c>
      <c r="AA72" s="4"/>
      <c r="AB72" s="4" t="s">
        <v>132</v>
      </c>
      <c r="AC72" s="1" t="s">
        <v>58</v>
      </c>
      <c r="AD72" s="1">
        <v>29000</v>
      </c>
      <c r="AE72" s="1">
        <v>0</v>
      </c>
      <c r="AF72" s="4" t="s">
        <v>114</v>
      </c>
      <c r="AG72" s="1" t="s">
        <v>60</v>
      </c>
      <c r="AH72" s="1"/>
      <c r="AI72" s="1" t="str">
        <f t="shared" si="14"/>
        <v>Converted/Partially Converted</v>
      </c>
      <c r="AJ72" s="1" t="str">
        <f t="shared" si="15"/>
        <v>Eligible</v>
      </c>
      <c r="AK72" s="1" t="str">
        <f t="shared" si="16"/>
        <v>Y</v>
      </c>
      <c r="AL72" s="5">
        <f>SUMIFS(SO_Mapping!$F:$F,SO_Mapping!$A:$A,$B72)</f>
        <v>29000</v>
      </c>
      <c r="AM72" s="5" t="str">
        <f t="shared" si="17"/>
        <v>N</v>
      </c>
      <c r="AN72" s="5">
        <f t="shared" si="18"/>
        <v>0</v>
      </c>
      <c r="AO72" s="1" t="str">
        <f t="shared" si="19"/>
        <v>Cash eligible</v>
      </c>
      <c r="AP72" s="1" t="str">
        <f t="shared" si="20"/>
        <v>2026-04-16</v>
      </c>
      <c r="AQ72" s="1"/>
    </row>
    <row r="73" spans="1:43" ht="42">
      <c r="A73" s="1">
        <v>72</v>
      </c>
      <c r="B73" s="1" t="s">
        <v>276</v>
      </c>
      <c r="C73" s="1" t="s">
        <v>277</v>
      </c>
      <c r="D73" s="1" t="s">
        <v>261</v>
      </c>
      <c r="E73" s="1" t="s">
        <v>106</v>
      </c>
      <c r="F73" s="1" t="s">
        <v>47</v>
      </c>
      <c r="G73" s="1" t="s">
        <v>108</v>
      </c>
      <c r="H73" s="1" t="s">
        <v>81</v>
      </c>
      <c r="I73" s="1" t="s">
        <v>50</v>
      </c>
      <c r="J73" s="4"/>
      <c r="K73" s="5">
        <v>25000</v>
      </c>
      <c r="L73" s="6">
        <v>0.75</v>
      </c>
      <c r="M73" s="5">
        <v>18750</v>
      </c>
      <c r="N73" s="1"/>
      <c r="O73" s="5"/>
      <c r="P73" s="5"/>
      <c r="Q73" s="5">
        <v>25000</v>
      </c>
      <c r="R73" s="1" t="s">
        <v>82</v>
      </c>
      <c r="S73" s="1" t="s">
        <v>81</v>
      </c>
      <c r="T73" s="1"/>
      <c r="U73" s="1"/>
      <c r="V73" s="1"/>
      <c r="W73" s="1" t="s">
        <v>56</v>
      </c>
      <c r="X73" s="4"/>
      <c r="Y73" s="4"/>
      <c r="Z73" s="6">
        <v>0</v>
      </c>
      <c r="AA73" s="4"/>
      <c r="AB73" s="4"/>
      <c r="AC73" s="1" t="s">
        <v>83</v>
      </c>
      <c r="AD73" s="1">
        <v>0</v>
      </c>
      <c r="AE73" s="1">
        <v>25000</v>
      </c>
      <c r="AF73" s="4" t="s">
        <v>84</v>
      </c>
      <c r="AG73" s="1" t="s">
        <v>60</v>
      </c>
      <c r="AH73" s="1"/>
      <c r="AI73" s="1" t="str">
        <f t="shared" si="14"/>
        <v>Watchlist</v>
      </c>
      <c r="AJ73" s="1" t="str">
        <f t="shared" si="15"/>
        <v>Scenario Only - No Close Date</v>
      </c>
      <c r="AK73" s="1" t="str">
        <f t="shared" si="16"/>
        <v>N</v>
      </c>
      <c r="AL73" s="5">
        <f>SUMIFS(SO_Mapping!$F:$F,SO_Mapping!$A:$A,$B73)</f>
        <v>0</v>
      </c>
      <c r="AM73" s="5" t="str">
        <f t="shared" si="17"/>
        <v>N</v>
      </c>
      <c r="AN73" s="5">
        <f t="shared" si="18"/>
        <v>25000</v>
      </c>
      <c r="AO73" s="1" t="str">
        <f t="shared" si="19"/>
        <v>No expected close date</v>
      </c>
      <c r="AP73" s="1" t="str">
        <f t="shared" si="20"/>
        <v/>
      </c>
      <c r="AQ73" s="1"/>
    </row>
    <row r="74" spans="1:43" ht="42">
      <c r="A74" s="1">
        <v>73</v>
      </c>
      <c r="B74" s="1" t="s">
        <v>278</v>
      </c>
      <c r="C74" s="1" t="s">
        <v>279</v>
      </c>
      <c r="D74" s="1" t="s">
        <v>261</v>
      </c>
      <c r="E74" s="1" t="s">
        <v>106</v>
      </c>
      <c r="F74" s="1" t="s">
        <v>47</v>
      </c>
      <c r="G74" s="1" t="s">
        <v>108</v>
      </c>
      <c r="H74" s="1" t="s">
        <v>81</v>
      </c>
      <c r="I74" s="1" t="s">
        <v>50</v>
      </c>
      <c r="J74" s="4"/>
      <c r="K74" s="5">
        <v>25000</v>
      </c>
      <c r="L74" s="6">
        <v>0.75</v>
      </c>
      <c r="M74" s="5">
        <v>18750</v>
      </c>
      <c r="N74" s="1"/>
      <c r="O74" s="5"/>
      <c r="P74" s="5"/>
      <c r="Q74" s="5">
        <v>25000</v>
      </c>
      <c r="R74" s="1" t="s">
        <v>82</v>
      </c>
      <c r="S74" s="1" t="s">
        <v>81</v>
      </c>
      <c r="T74" s="1"/>
      <c r="U74" s="1"/>
      <c r="V74" s="1"/>
      <c r="W74" s="1" t="s">
        <v>56</v>
      </c>
      <c r="X74" s="4"/>
      <c r="Y74" s="4"/>
      <c r="Z74" s="6">
        <v>0</v>
      </c>
      <c r="AA74" s="4"/>
      <c r="AB74" s="4"/>
      <c r="AC74" s="1" t="s">
        <v>83</v>
      </c>
      <c r="AD74" s="1">
        <v>0</v>
      </c>
      <c r="AE74" s="1">
        <v>25000</v>
      </c>
      <c r="AF74" s="4" t="s">
        <v>84</v>
      </c>
      <c r="AG74" s="1" t="s">
        <v>60</v>
      </c>
      <c r="AH74" s="1"/>
      <c r="AI74" s="1" t="str">
        <f t="shared" si="14"/>
        <v>Watchlist</v>
      </c>
      <c r="AJ74" s="1" t="str">
        <f t="shared" si="15"/>
        <v>Scenario Only - No Close Date</v>
      </c>
      <c r="AK74" s="1" t="str">
        <f t="shared" si="16"/>
        <v>N</v>
      </c>
      <c r="AL74" s="5">
        <f>SUMIFS(SO_Mapping!$F:$F,SO_Mapping!$A:$A,$B74)</f>
        <v>0</v>
      </c>
      <c r="AM74" s="5" t="str">
        <f t="shared" si="17"/>
        <v>N</v>
      </c>
      <c r="AN74" s="5">
        <f t="shared" si="18"/>
        <v>25000</v>
      </c>
      <c r="AO74" s="1" t="str">
        <f t="shared" si="19"/>
        <v>No expected close date</v>
      </c>
      <c r="AP74" s="1" t="str">
        <f t="shared" si="20"/>
        <v/>
      </c>
      <c r="AQ74" s="1"/>
    </row>
    <row r="75" spans="1:43" ht="42">
      <c r="A75" s="1">
        <v>74</v>
      </c>
      <c r="B75" s="1" t="s">
        <v>280</v>
      </c>
      <c r="C75" s="1" t="s">
        <v>281</v>
      </c>
      <c r="D75" s="1" t="s">
        <v>261</v>
      </c>
      <c r="E75" s="1" t="s">
        <v>106</v>
      </c>
      <c r="F75" s="1" t="s">
        <v>47</v>
      </c>
      <c r="G75" s="1" t="s">
        <v>108</v>
      </c>
      <c r="H75" s="1" t="s">
        <v>81</v>
      </c>
      <c r="I75" s="1" t="s">
        <v>50</v>
      </c>
      <c r="J75" s="4"/>
      <c r="K75" s="5">
        <v>25000</v>
      </c>
      <c r="L75" s="6">
        <v>0.75</v>
      </c>
      <c r="M75" s="5">
        <v>18750</v>
      </c>
      <c r="N75" s="1"/>
      <c r="O75" s="5"/>
      <c r="P75" s="5"/>
      <c r="Q75" s="5">
        <v>25000</v>
      </c>
      <c r="R75" s="1" t="s">
        <v>82</v>
      </c>
      <c r="S75" s="1" t="s">
        <v>81</v>
      </c>
      <c r="T75" s="1"/>
      <c r="U75" s="1"/>
      <c r="V75" s="1"/>
      <c r="W75" s="1" t="s">
        <v>56</v>
      </c>
      <c r="X75" s="4"/>
      <c r="Y75" s="4"/>
      <c r="Z75" s="6">
        <v>0</v>
      </c>
      <c r="AA75" s="4"/>
      <c r="AB75" s="4"/>
      <c r="AC75" s="1" t="s">
        <v>83</v>
      </c>
      <c r="AD75" s="1">
        <v>0</v>
      </c>
      <c r="AE75" s="1">
        <v>25000</v>
      </c>
      <c r="AF75" s="4" t="s">
        <v>84</v>
      </c>
      <c r="AG75" s="1" t="s">
        <v>60</v>
      </c>
      <c r="AH75" s="1"/>
      <c r="AI75" s="1" t="str">
        <f t="shared" si="14"/>
        <v>Watchlist</v>
      </c>
      <c r="AJ75" s="1" t="str">
        <f t="shared" si="15"/>
        <v>Scenario Only - No Close Date</v>
      </c>
      <c r="AK75" s="1" t="str">
        <f t="shared" si="16"/>
        <v>N</v>
      </c>
      <c r="AL75" s="5">
        <f>SUMIFS(SO_Mapping!$F:$F,SO_Mapping!$A:$A,$B75)</f>
        <v>0</v>
      </c>
      <c r="AM75" s="5" t="str">
        <f t="shared" si="17"/>
        <v>N</v>
      </c>
      <c r="AN75" s="5">
        <f t="shared" si="18"/>
        <v>25000</v>
      </c>
      <c r="AO75" s="1" t="str">
        <f t="shared" si="19"/>
        <v>No expected close date</v>
      </c>
      <c r="AP75" s="1" t="str">
        <f t="shared" si="20"/>
        <v/>
      </c>
      <c r="AQ75" s="1"/>
    </row>
    <row r="76" spans="1:43" ht="42">
      <c r="A76" s="1">
        <v>75</v>
      </c>
      <c r="B76" s="1" t="s">
        <v>282</v>
      </c>
      <c r="C76" s="1" t="s">
        <v>283</v>
      </c>
      <c r="D76" s="1" t="s">
        <v>261</v>
      </c>
      <c r="E76" s="1" t="s">
        <v>106</v>
      </c>
      <c r="F76" s="1" t="s">
        <v>47</v>
      </c>
      <c r="G76" s="1" t="s">
        <v>108</v>
      </c>
      <c r="H76" s="1" t="s">
        <v>81</v>
      </c>
      <c r="I76" s="1" t="s">
        <v>50</v>
      </c>
      <c r="J76" s="4"/>
      <c r="K76" s="5">
        <v>25000</v>
      </c>
      <c r="L76" s="6">
        <v>0.75</v>
      </c>
      <c r="M76" s="5">
        <v>18750</v>
      </c>
      <c r="N76" s="1"/>
      <c r="O76" s="5"/>
      <c r="P76" s="5"/>
      <c r="Q76" s="5">
        <v>25000</v>
      </c>
      <c r="R76" s="1" t="s">
        <v>82</v>
      </c>
      <c r="S76" s="1" t="s">
        <v>81</v>
      </c>
      <c r="T76" s="1"/>
      <c r="U76" s="1"/>
      <c r="V76" s="1"/>
      <c r="W76" s="1" t="s">
        <v>56</v>
      </c>
      <c r="X76" s="4"/>
      <c r="Y76" s="4"/>
      <c r="Z76" s="6">
        <v>0</v>
      </c>
      <c r="AA76" s="4"/>
      <c r="AB76" s="4"/>
      <c r="AC76" s="1" t="s">
        <v>83</v>
      </c>
      <c r="AD76" s="1">
        <v>0</v>
      </c>
      <c r="AE76" s="1">
        <v>25000</v>
      </c>
      <c r="AF76" s="4" t="s">
        <v>84</v>
      </c>
      <c r="AG76" s="1" t="s">
        <v>60</v>
      </c>
      <c r="AH76" s="1"/>
      <c r="AI76" s="1" t="str">
        <f t="shared" si="14"/>
        <v>Watchlist</v>
      </c>
      <c r="AJ76" s="1" t="str">
        <f t="shared" si="15"/>
        <v>Scenario Only - No Close Date</v>
      </c>
      <c r="AK76" s="1" t="str">
        <f t="shared" si="16"/>
        <v>N</v>
      </c>
      <c r="AL76" s="5">
        <f>SUMIFS(SO_Mapping!$F:$F,SO_Mapping!$A:$A,$B76)</f>
        <v>0</v>
      </c>
      <c r="AM76" s="5" t="str">
        <f t="shared" si="17"/>
        <v>N</v>
      </c>
      <c r="AN76" s="5">
        <f t="shared" si="18"/>
        <v>25000</v>
      </c>
      <c r="AO76" s="1" t="str">
        <f t="shared" si="19"/>
        <v>No expected close date</v>
      </c>
      <c r="AP76" s="1" t="str">
        <f t="shared" si="20"/>
        <v/>
      </c>
      <c r="AQ76" s="1"/>
    </row>
    <row r="77" spans="1:43" ht="56">
      <c r="A77" s="1">
        <v>76</v>
      </c>
      <c r="B77" s="1" t="s">
        <v>284</v>
      </c>
      <c r="C77" s="1" t="s">
        <v>285</v>
      </c>
      <c r="D77" s="1" t="s">
        <v>261</v>
      </c>
      <c r="E77" s="1" t="s">
        <v>106</v>
      </c>
      <c r="F77" s="1" t="s">
        <v>69</v>
      </c>
      <c r="G77" s="1" t="s">
        <v>108</v>
      </c>
      <c r="H77" s="1" t="s">
        <v>49</v>
      </c>
      <c r="I77" s="1" t="s">
        <v>50</v>
      </c>
      <c r="J77" s="4" t="s">
        <v>286</v>
      </c>
      <c r="K77" s="5">
        <v>25000</v>
      </c>
      <c r="L77" s="6">
        <v>0.75</v>
      </c>
      <c r="M77" s="5">
        <v>18750</v>
      </c>
      <c r="N77" s="1" t="s">
        <v>287</v>
      </c>
      <c r="O77" s="5">
        <v>60568</v>
      </c>
      <c r="P77" s="5" t="s">
        <v>286</v>
      </c>
      <c r="Q77" s="5"/>
      <c r="R77" s="1" t="s">
        <v>288</v>
      </c>
      <c r="S77" s="1" t="s">
        <v>101</v>
      </c>
      <c r="T77" s="1"/>
      <c r="U77" s="1"/>
      <c r="V77" s="1"/>
      <c r="W77" s="1" t="s">
        <v>112</v>
      </c>
      <c r="X77" s="4" t="s">
        <v>286</v>
      </c>
      <c r="Y77" s="4" t="s">
        <v>289</v>
      </c>
      <c r="Z77" s="6">
        <v>0</v>
      </c>
      <c r="AA77" s="4"/>
      <c r="AB77" s="4" t="s">
        <v>289</v>
      </c>
      <c r="AC77" s="1" t="s">
        <v>58</v>
      </c>
      <c r="AD77" s="1">
        <v>60568</v>
      </c>
      <c r="AE77" s="1">
        <v>0</v>
      </c>
      <c r="AF77" s="4" t="s">
        <v>114</v>
      </c>
      <c r="AG77" s="1" t="s">
        <v>60</v>
      </c>
      <c r="AH77" s="1"/>
      <c r="AI77" s="1" t="str">
        <f t="shared" si="14"/>
        <v>Converted/Partially Converted</v>
      </c>
      <c r="AJ77" s="1" t="str">
        <f t="shared" si="15"/>
        <v>Not Eligible - SO Mapping Review</v>
      </c>
      <c r="AK77" s="1" t="str">
        <f t="shared" si="16"/>
        <v>N</v>
      </c>
      <c r="AL77" s="5">
        <f>SUMIFS(SO_Mapping!$F:$F,SO_Mapping!$A:$A,$B77)</f>
        <v>0</v>
      </c>
      <c r="AM77" s="5" t="str">
        <f t="shared" si="17"/>
        <v>Y</v>
      </c>
      <c r="AN77" s="5">
        <f t="shared" si="18"/>
        <v>25000</v>
      </c>
      <c r="AO77" s="1" t="str">
        <f t="shared" si="19"/>
        <v>SO mapping must be resolved</v>
      </c>
      <c r="AP77" s="1" t="str">
        <f t="shared" si="20"/>
        <v/>
      </c>
      <c r="AQ77" s="1"/>
    </row>
    <row r="78" spans="1:43" ht="42">
      <c r="A78" s="1">
        <v>77</v>
      </c>
      <c r="B78" s="1" t="s">
        <v>290</v>
      </c>
      <c r="C78" s="1" t="s">
        <v>291</v>
      </c>
      <c r="D78" s="1" t="s">
        <v>261</v>
      </c>
      <c r="E78" s="1" t="s">
        <v>106</v>
      </c>
      <c r="F78" s="1" t="s">
        <v>69</v>
      </c>
      <c r="G78" s="1" t="s">
        <v>108</v>
      </c>
      <c r="H78" s="1" t="s">
        <v>81</v>
      </c>
      <c r="I78" s="1" t="s">
        <v>50</v>
      </c>
      <c r="J78" s="4"/>
      <c r="K78" s="5">
        <v>25000</v>
      </c>
      <c r="L78" s="6">
        <v>0.75</v>
      </c>
      <c r="M78" s="5">
        <v>18750</v>
      </c>
      <c r="N78" s="1"/>
      <c r="O78" s="5"/>
      <c r="P78" s="5"/>
      <c r="Q78" s="5">
        <v>25000</v>
      </c>
      <c r="R78" s="1" t="s">
        <v>82</v>
      </c>
      <c r="S78" s="1" t="s">
        <v>81</v>
      </c>
      <c r="T78" s="1"/>
      <c r="U78" s="1"/>
      <c r="V78" s="1"/>
      <c r="W78" s="1" t="s">
        <v>56</v>
      </c>
      <c r="X78" s="4"/>
      <c r="Y78" s="4"/>
      <c r="Z78" s="6">
        <v>0</v>
      </c>
      <c r="AA78" s="4"/>
      <c r="AB78" s="4"/>
      <c r="AC78" s="1" t="s">
        <v>83</v>
      </c>
      <c r="AD78" s="1">
        <v>0</v>
      </c>
      <c r="AE78" s="1">
        <v>25000</v>
      </c>
      <c r="AF78" s="4" t="s">
        <v>84</v>
      </c>
      <c r="AG78" s="1" t="s">
        <v>60</v>
      </c>
      <c r="AH78" s="1"/>
      <c r="AI78" s="1" t="str">
        <f t="shared" si="14"/>
        <v>Watchlist</v>
      </c>
      <c r="AJ78" s="1" t="str">
        <f t="shared" si="15"/>
        <v>Scenario Only - No Close Date</v>
      </c>
      <c r="AK78" s="1" t="str">
        <f t="shared" si="16"/>
        <v>N</v>
      </c>
      <c r="AL78" s="5">
        <f>SUMIFS(SO_Mapping!$F:$F,SO_Mapping!$A:$A,$B78)</f>
        <v>0</v>
      </c>
      <c r="AM78" s="5" t="str">
        <f t="shared" si="17"/>
        <v>N</v>
      </c>
      <c r="AN78" s="5">
        <f t="shared" si="18"/>
        <v>25000</v>
      </c>
      <c r="AO78" s="1" t="str">
        <f t="shared" si="19"/>
        <v>No expected close date</v>
      </c>
      <c r="AP78" s="1" t="str">
        <f t="shared" si="20"/>
        <v/>
      </c>
      <c r="AQ78" s="1"/>
    </row>
    <row r="79" spans="1:43" ht="42">
      <c r="A79" s="1">
        <v>78</v>
      </c>
      <c r="B79" s="1" t="s">
        <v>292</v>
      </c>
      <c r="C79" s="1" t="s">
        <v>293</v>
      </c>
      <c r="D79" s="1" t="s">
        <v>261</v>
      </c>
      <c r="E79" s="1" t="s">
        <v>106</v>
      </c>
      <c r="F79" s="1" t="s">
        <v>63</v>
      </c>
      <c r="G79" s="1" t="s">
        <v>108</v>
      </c>
      <c r="H79" s="1" t="s">
        <v>81</v>
      </c>
      <c r="I79" s="1" t="s">
        <v>50</v>
      </c>
      <c r="J79" s="4"/>
      <c r="K79" s="5">
        <v>25000</v>
      </c>
      <c r="L79" s="6">
        <v>0.75</v>
      </c>
      <c r="M79" s="5">
        <v>18750</v>
      </c>
      <c r="N79" s="1"/>
      <c r="O79" s="5"/>
      <c r="P79" s="5"/>
      <c r="Q79" s="5">
        <v>25000</v>
      </c>
      <c r="R79" s="1" t="s">
        <v>82</v>
      </c>
      <c r="S79" s="1" t="s">
        <v>81</v>
      </c>
      <c r="T79" s="1"/>
      <c r="U79" s="1"/>
      <c r="V79" s="1"/>
      <c r="W79" s="1" t="s">
        <v>56</v>
      </c>
      <c r="X79" s="4"/>
      <c r="Y79" s="4"/>
      <c r="Z79" s="6">
        <v>0</v>
      </c>
      <c r="AA79" s="4"/>
      <c r="AB79" s="4"/>
      <c r="AC79" s="1" t="s">
        <v>83</v>
      </c>
      <c r="AD79" s="1">
        <v>0</v>
      </c>
      <c r="AE79" s="1">
        <v>25000</v>
      </c>
      <c r="AF79" s="4" t="s">
        <v>84</v>
      </c>
      <c r="AG79" s="1" t="s">
        <v>60</v>
      </c>
      <c r="AH79" s="1"/>
      <c r="AI79" s="1" t="str">
        <f t="shared" si="14"/>
        <v>Watchlist</v>
      </c>
      <c r="AJ79" s="1" t="str">
        <f t="shared" si="15"/>
        <v>Scenario Only - No Close Date</v>
      </c>
      <c r="AK79" s="1" t="str">
        <f t="shared" si="16"/>
        <v>N</v>
      </c>
      <c r="AL79" s="5">
        <f>SUMIFS(SO_Mapping!$F:$F,SO_Mapping!$A:$A,$B79)</f>
        <v>0</v>
      </c>
      <c r="AM79" s="5" t="str">
        <f t="shared" si="17"/>
        <v>N</v>
      </c>
      <c r="AN79" s="5">
        <f t="shared" si="18"/>
        <v>25000</v>
      </c>
      <c r="AO79" s="1" t="str">
        <f t="shared" si="19"/>
        <v>No expected close date</v>
      </c>
      <c r="AP79" s="1" t="str">
        <f t="shared" si="20"/>
        <v/>
      </c>
      <c r="AQ79" s="1"/>
    </row>
    <row r="80" spans="1:43" ht="42">
      <c r="A80" s="1">
        <v>79</v>
      </c>
      <c r="B80" s="1" t="s">
        <v>294</v>
      </c>
      <c r="C80" s="1" t="s">
        <v>295</v>
      </c>
      <c r="D80" s="1" t="s">
        <v>261</v>
      </c>
      <c r="E80" s="1" t="s">
        <v>106</v>
      </c>
      <c r="F80" s="1" t="s">
        <v>47</v>
      </c>
      <c r="G80" s="1" t="s">
        <v>108</v>
      </c>
      <c r="H80" s="1" t="s">
        <v>81</v>
      </c>
      <c r="I80" s="1" t="s">
        <v>50</v>
      </c>
      <c r="J80" s="4"/>
      <c r="K80" s="5">
        <v>25000</v>
      </c>
      <c r="L80" s="6">
        <v>0.75</v>
      </c>
      <c r="M80" s="5">
        <v>18750</v>
      </c>
      <c r="N80" s="1"/>
      <c r="O80" s="5"/>
      <c r="P80" s="5"/>
      <c r="Q80" s="5">
        <v>25000</v>
      </c>
      <c r="R80" s="1" t="s">
        <v>82</v>
      </c>
      <c r="S80" s="1" t="s">
        <v>81</v>
      </c>
      <c r="T80" s="1"/>
      <c r="U80" s="1"/>
      <c r="V80" s="1"/>
      <c r="W80" s="1" t="s">
        <v>56</v>
      </c>
      <c r="X80" s="4"/>
      <c r="Y80" s="4"/>
      <c r="Z80" s="6">
        <v>0</v>
      </c>
      <c r="AA80" s="4"/>
      <c r="AB80" s="4"/>
      <c r="AC80" s="1" t="s">
        <v>83</v>
      </c>
      <c r="AD80" s="1">
        <v>0</v>
      </c>
      <c r="AE80" s="1">
        <v>25000</v>
      </c>
      <c r="AF80" s="4" t="s">
        <v>84</v>
      </c>
      <c r="AG80" s="1" t="s">
        <v>60</v>
      </c>
      <c r="AH80" s="1"/>
      <c r="AI80" s="1" t="str">
        <f t="shared" si="14"/>
        <v>Watchlist</v>
      </c>
      <c r="AJ80" s="1" t="str">
        <f t="shared" si="15"/>
        <v>Scenario Only - No Close Date</v>
      </c>
      <c r="AK80" s="1" t="str">
        <f t="shared" si="16"/>
        <v>N</v>
      </c>
      <c r="AL80" s="5">
        <f>SUMIFS(SO_Mapping!$F:$F,SO_Mapping!$A:$A,$B80)</f>
        <v>0</v>
      </c>
      <c r="AM80" s="5" t="str">
        <f t="shared" si="17"/>
        <v>N</v>
      </c>
      <c r="AN80" s="5">
        <f t="shared" si="18"/>
        <v>25000</v>
      </c>
      <c r="AO80" s="1" t="str">
        <f t="shared" si="19"/>
        <v>No expected close date</v>
      </c>
      <c r="AP80" s="1" t="str">
        <f t="shared" si="20"/>
        <v/>
      </c>
      <c r="AQ80" s="1"/>
    </row>
    <row r="81" spans="1:43" ht="42">
      <c r="A81" s="1">
        <v>80</v>
      </c>
      <c r="B81" s="1" t="s">
        <v>296</v>
      </c>
      <c r="C81" s="1" t="s">
        <v>297</v>
      </c>
      <c r="D81" s="1" t="s">
        <v>122</v>
      </c>
      <c r="E81" s="1" t="s">
        <v>106</v>
      </c>
      <c r="F81" s="1" t="s">
        <v>47</v>
      </c>
      <c r="G81" s="1" t="s">
        <v>108</v>
      </c>
      <c r="H81" s="1" t="s">
        <v>81</v>
      </c>
      <c r="I81" s="1" t="s">
        <v>50</v>
      </c>
      <c r="J81" s="4"/>
      <c r="K81" s="5">
        <v>25000</v>
      </c>
      <c r="L81" s="6">
        <v>0.75</v>
      </c>
      <c r="M81" s="5">
        <v>18750</v>
      </c>
      <c r="N81" s="1"/>
      <c r="O81" s="5"/>
      <c r="P81" s="5"/>
      <c r="Q81" s="5">
        <v>25000</v>
      </c>
      <c r="R81" s="1" t="s">
        <v>82</v>
      </c>
      <c r="S81" s="1" t="s">
        <v>81</v>
      </c>
      <c r="T81" s="1"/>
      <c r="U81" s="1"/>
      <c r="V81" s="1"/>
      <c r="W81" s="1" t="s">
        <v>56</v>
      </c>
      <c r="X81" s="4"/>
      <c r="Y81" s="4"/>
      <c r="Z81" s="6">
        <v>0</v>
      </c>
      <c r="AA81" s="4"/>
      <c r="AB81" s="4"/>
      <c r="AC81" s="1" t="s">
        <v>83</v>
      </c>
      <c r="AD81" s="1">
        <v>0</v>
      </c>
      <c r="AE81" s="1">
        <v>25000</v>
      </c>
      <c r="AF81" s="4" t="s">
        <v>84</v>
      </c>
      <c r="AG81" s="1" t="s">
        <v>60</v>
      </c>
      <c r="AH81" s="1"/>
      <c r="AI81" s="1" t="str">
        <f t="shared" si="14"/>
        <v>Watchlist</v>
      </c>
      <c r="AJ81" s="1" t="str">
        <f t="shared" si="15"/>
        <v>Scenario Only - No Close Date</v>
      </c>
      <c r="AK81" s="1" t="str">
        <f t="shared" si="16"/>
        <v>N</v>
      </c>
      <c r="AL81" s="5">
        <f>SUMIFS(SO_Mapping!$F:$F,SO_Mapping!$A:$A,$B81)</f>
        <v>0</v>
      </c>
      <c r="AM81" s="5" t="str">
        <f t="shared" si="17"/>
        <v>N</v>
      </c>
      <c r="AN81" s="5">
        <f t="shared" si="18"/>
        <v>25000</v>
      </c>
      <c r="AO81" s="1" t="str">
        <f t="shared" si="19"/>
        <v>No expected close date</v>
      </c>
      <c r="AP81" s="1" t="str">
        <f t="shared" si="20"/>
        <v/>
      </c>
      <c r="AQ81" s="1"/>
    </row>
    <row r="82" spans="1:43" ht="42">
      <c r="A82" s="1">
        <v>81</v>
      </c>
      <c r="B82" s="1" t="s">
        <v>298</v>
      </c>
      <c r="C82" s="1" t="s">
        <v>299</v>
      </c>
      <c r="D82" s="1" t="s">
        <v>122</v>
      </c>
      <c r="E82" s="1" t="s">
        <v>106</v>
      </c>
      <c r="F82" s="1" t="s">
        <v>47</v>
      </c>
      <c r="G82" s="1" t="s">
        <v>108</v>
      </c>
      <c r="H82" s="1" t="s">
        <v>81</v>
      </c>
      <c r="I82" s="1" t="s">
        <v>50</v>
      </c>
      <c r="J82" s="4"/>
      <c r="K82" s="5">
        <v>25000</v>
      </c>
      <c r="L82" s="6">
        <v>0.75</v>
      </c>
      <c r="M82" s="5">
        <v>18750</v>
      </c>
      <c r="N82" s="1"/>
      <c r="O82" s="5"/>
      <c r="P82" s="5"/>
      <c r="Q82" s="5">
        <v>25000</v>
      </c>
      <c r="R82" s="1" t="s">
        <v>82</v>
      </c>
      <c r="S82" s="1" t="s">
        <v>81</v>
      </c>
      <c r="T82" s="1"/>
      <c r="U82" s="1"/>
      <c r="V82" s="1"/>
      <c r="W82" s="1" t="s">
        <v>56</v>
      </c>
      <c r="X82" s="4"/>
      <c r="Y82" s="4"/>
      <c r="Z82" s="6">
        <v>0</v>
      </c>
      <c r="AA82" s="4"/>
      <c r="AB82" s="4"/>
      <c r="AC82" s="1" t="s">
        <v>83</v>
      </c>
      <c r="AD82" s="1">
        <v>0</v>
      </c>
      <c r="AE82" s="1">
        <v>25000</v>
      </c>
      <c r="AF82" s="4" t="s">
        <v>84</v>
      </c>
      <c r="AG82" s="1" t="s">
        <v>60</v>
      </c>
      <c r="AH82" s="1"/>
      <c r="AI82" s="1" t="str">
        <f t="shared" si="14"/>
        <v>Watchlist</v>
      </c>
      <c r="AJ82" s="1" t="str">
        <f t="shared" si="15"/>
        <v>Scenario Only - No Close Date</v>
      </c>
      <c r="AK82" s="1" t="str">
        <f t="shared" si="16"/>
        <v>N</v>
      </c>
      <c r="AL82" s="5">
        <f>SUMIFS(SO_Mapping!$F:$F,SO_Mapping!$A:$A,$B82)</f>
        <v>0</v>
      </c>
      <c r="AM82" s="5" t="str">
        <f t="shared" si="17"/>
        <v>N</v>
      </c>
      <c r="AN82" s="5">
        <f t="shared" si="18"/>
        <v>25000</v>
      </c>
      <c r="AO82" s="1" t="str">
        <f t="shared" si="19"/>
        <v>No expected close date</v>
      </c>
      <c r="AP82" s="1" t="str">
        <f t="shared" si="20"/>
        <v/>
      </c>
      <c r="AQ82" s="1"/>
    </row>
    <row r="83" spans="1:43" ht="42">
      <c r="A83" s="1">
        <v>82</v>
      </c>
      <c r="B83" s="1" t="s">
        <v>300</v>
      </c>
      <c r="C83" s="1" t="s">
        <v>301</v>
      </c>
      <c r="D83" s="1" t="s">
        <v>122</v>
      </c>
      <c r="E83" s="1" t="s">
        <v>106</v>
      </c>
      <c r="F83" s="1" t="s">
        <v>47</v>
      </c>
      <c r="G83" s="1" t="s">
        <v>108</v>
      </c>
      <c r="H83" s="1" t="s">
        <v>81</v>
      </c>
      <c r="I83" s="1" t="s">
        <v>50</v>
      </c>
      <c r="J83" s="4"/>
      <c r="K83" s="5">
        <v>25000</v>
      </c>
      <c r="L83" s="6">
        <v>0.75</v>
      </c>
      <c r="M83" s="5">
        <v>18750</v>
      </c>
      <c r="N83" s="1"/>
      <c r="O83" s="5"/>
      <c r="P83" s="5"/>
      <c r="Q83" s="5">
        <v>25000</v>
      </c>
      <c r="R83" s="1" t="s">
        <v>82</v>
      </c>
      <c r="S83" s="1" t="s">
        <v>81</v>
      </c>
      <c r="T83" s="1"/>
      <c r="U83" s="1"/>
      <c r="V83" s="1"/>
      <c r="W83" s="1" t="s">
        <v>56</v>
      </c>
      <c r="X83" s="4"/>
      <c r="Y83" s="4"/>
      <c r="Z83" s="6">
        <v>0</v>
      </c>
      <c r="AA83" s="4"/>
      <c r="AB83" s="4"/>
      <c r="AC83" s="1" t="s">
        <v>83</v>
      </c>
      <c r="AD83" s="1">
        <v>0</v>
      </c>
      <c r="AE83" s="1">
        <v>25000</v>
      </c>
      <c r="AF83" s="4" t="s">
        <v>84</v>
      </c>
      <c r="AG83" s="1" t="s">
        <v>60</v>
      </c>
      <c r="AH83" s="1"/>
      <c r="AI83" s="1" t="str">
        <f t="shared" si="14"/>
        <v>Watchlist</v>
      </c>
      <c r="AJ83" s="1" t="str">
        <f t="shared" si="15"/>
        <v>Scenario Only - No Close Date</v>
      </c>
      <c r="AK83" s="1" t="str">
        <f t="shared" si="16"/>
        <v>N</v>
      </c>
      <c r="AL83" s="5">
        <f>SUMIFS(SO_Mapping!$F:$F,SO_Mapping!$A:$A,$B83)</f>
        <v>0</v>
      </c>
      <c r="AM83" s="5" t="str">
        <f t="shared" si="17"/>
        <v>N</v>
      </c>
      <c r="AN83" s="5">
        <f t="shared" si="18"/>
        <v>25000</v>
      </c>
      <c r="AO83" s="1" t="str">
        <f t="shared" si="19"/>
        <v>No expected close date</v>
      </c>
      <c r="AP83" s="1" t="str">
        <f t="shared" si="20"/>
        <v/>
      </c>
      <c r="AQ83" s="1"/>
    </row>
    <row r="84" spans="1:43" ht="42">
      <c r="A84" s="1">
        <v>83</v>
      </c>
      <c r="B84" s="1" t="s">
        <v>302</v>
      </c>
      <c r="C84" s="1" t="s">
        <v>303</v>
      </c>
      <c r="D84" s="1" t="s">
        <v>122</v>
      </c>
      <c r="E84" s="1" t="s">
        <v>106</v>
      </c>
      <c r="F84" s="1" t="s">
        <v>47</v>
      </c>
      <c r="G84" s="1" t="s">
        <v>108</v>
      </c>
      <c r="H84" s="1" t="s">
        <v>81</v>
      </c>
      <c r="I84" s="1" t="s">
        <v>50</v>
      </c>
      <c r="J84" s="4"/>
      <c r="K84" s="5">
        <v>25000</v>
      </c>
      <c r="L84" s="6">
        <v>0.75</v>
      </c>
      <c r="M84" s="5">
        <v>18750</v>
      </c>
      <c r="N84" s="1"/>
      <c r="O84" s="5"/>
      <c r="P84" s="5"/>
      <c r="Q84" s="5">
        <v>25000</v>
      </c>
      <c r="R84" s="1" t="s">
        <v>82</v>
      </c>
      <c r="S84" s="1" t="s">
        <v>81</v>
      </c>
      <c r="T84" s="1"/>
      <c r="U84" s="1"/>
      <c r="V84" s="1"/>
      <c r="W84" s="1" t="s">
        <v>56</v>
      </c>
      <c r="X84" s="4"/>
      <c r="Y84" s="4"/>
      <c r="Z84" s="6">
        <v>0</v>
      </c>
      <c r="AA84" s="4"/>
      <c r="AB84" s="4"/>
      <c r="AC84" s="1" t="s">
        <v>83</v>
      </c>
      <c r="AD84" s="1">
        <v>0</v>
      </c>
      <c r="AE84" s="1">
        <v>25000</v>
      </c>
      <c r="AF84" s="4" t="s">
        <v>84</v>
      </c>
      <c r="AG84" s="1" t="s">
        <v>60</v>
      </c>
      <c r="AH84" s="1"/>
      <c r="AI84" s="1" t="str">
        <f t="shared" si="14"/>
        <v>Watchlist</v>
      </c>
      <c r="AJ84" s="1" t="str">
        <f t="shared" si="15"/>
        <v>Scenario Only - No Close Date</v>
      </c>
      <c r="AK84" s="1" t="str">
        <f t="shared" si="16"/>
        <v>N</v>
      </c>
      <c r="AL84" s="5">
        <f>SUMIFS(SO_Mapping!$F:$F,SO_Mapping!$A:$A,$B84)</f>
        <v>0</v>
      </c>
      <c r="AM84" s="5" t="str">
        <f t="shared" si="17"/>
        <v>N</v>
      </c>
      <c r="AN84" s="5">
        <f t="shared" si="18"/>
        <v>25000</v>
      </c>
      <c r="AO84" s="1" t="str">
        <f t="shared" si="19"/>
        <v>No expected close date</v>
      </c>
      <c r="AP84" s="1" t="str">
        <f t="shared" si="20"/>
        <v/>
      </c>
      <c r="AQ84" s="1"/>
    </row>
    <row r="85" spans="1:43" ht="42">
      <c r="A85" s="1">
        <v>84</v>
      </c>
      <c r="B85" s="1" t="s">
        <v>304</v>
      </c>
      <c r="C85" s="1" t="s">
        <v>305</v>
      </c>
      <c r="D85" s="1" t="s">
        <v>122</v>
      </c>
      <c r="E85" s="1" t="s">
        <v>106</v>
      </c>
      <c r="F85" s="1" t="s">
        <v>47</v>
      </c>
      <c r="G85" s="1" t="s">
        <v>108</v>
      </c>
      <c r="H85" s="1" t="s">
        <v>81</v>
      </c>
      <c r="I85" s="1" t="s">
        <v>50</v>
      </c>
      <c r="J85" s="4"/>
      <c r="K85" s="5">
        <v>25000</v>
      </c>
      <c r="L85" s="6">
        <v>0.75</v>
      </c>
      <c r="M85" s="5">
        <v>18750</v>
      </c>
      <c r="N85" s="1"/>
      <c r="O85" s="5"/>
      <c r="P85" s="5"/>
      <c r="Q85" s="5">
        <v>25000</v>
      </c>
      <c r="R85" s="1" t="s">
        <v>82</v>
      </c>
      <c r="S85" s="1" t="s">
        <v>81</v>
      </c>
      <c r="T85" s="1"/>
      <c r="U85" s="1"/>
      <c r="V85" s="1"/>
      <c r="W85" s="1" t="s">
        <v>56</v>
      </c>
      <c r="X85" s="4"/>
      <c r="Y85" s="4"/>
      <c r="Z85" s="6">
        <v>0</v>
      </c>
      <c r="AA85" s="4"/>
      <c r="AB85" s="4"/>
      <c r="AC85" s="1" t="s">
        <v>83</v>
      </c>
      <c r="AD85" s="1">
        <v>0</v>
      </c>
      <c r="AE85" s="1">
        <v>25000</v>
      </c>
      <c r="AF85" s="4" t="s">
        <v>84</v>
      </c>
      <c r="AG85" s="1" t="s">
        <v>60</v>
      </c>
      <c r="AH85" s="1"/>
      <c r="AI85" s="1" t="str">
        <f t="shared" si="14"/>
        <v>Watchlist</v>
      </c>
      <c r="AJ85" s="1" t="str">
        <f t="shared" si="15"/>
        <v>Scenario Only - No Close Date</v>
      </c>
      <c r="AK85" s="1" t="str">
        <f t="shared" si="16"/>
        <v>N</v>
      </c>
      <c r="AL85" s="5">
        <f>SUMIFS(SO_Mapping!$F:$F,SO_Mapping!$A:$A,$B85)</f>
        <v>0</v>
      </c>
      <c r="AM85" s="5" t="str">
        <f t="shared" si="17"/>
        <v>N</v>
      </c>
      <c r="AN85" s="5">
        <f t="shared" si="18"/>
        <v>25000</v>
      </c>
      <c r="AO85" s="1" t="str">
        <f t="shared" si="19"/>
        <v>No expected close date</v>
      </c>
      <c r="AP85" s="1" t="str">
        <f t="shared" si="20"/>
        <v/>
      </c>
      <c r="AQ85" s="1"/>
    </row>
    <row r="86" spans="1:43" ht="42">
      <c r="A86" s="1">
        <v>85</v>
      </c>
      <c r="B86" s="1" t="s">
        <v>306</v>
      </c>
      <c r="C86" s="1" t="s">
        <v>307</v>
      </c>
      <c r="D86" s="1" t="s">
        <v>122</v>
      </c>
      <c r="E86" s="1" t="s">
        <v>106</v>
      </c>
      <c r="F86" s="1" t="s">
        <v>47</v>
      </c>
      <c r="G86" s="1" t="s">
        <v>108</v>
      </c>
      <c r="H86" s="1" t="s">
        <v>81</v>
      </c>
      <c r="I86" s="1" t="s">
        <v>50</v>
      </c>
      <c r="J86" s="4"/>
      <c r="K86" s="5">
        <v>25000</v>
      </c>
      <c r="L86" s="6">
        <v>0.75</v>
      </c>
      <c r="M86" s="5">
        <v>18750</v>
      </c>
      <c r="N86" s="1"/>
      <c r="O86" s="5"/>
      <c r="P86" s="5"/>
      <c r="Q86" s="5">
        <v>25000</v>
      </c>
      <c r="R86" s="1" t="s">
        <v>82</v>
      </c>
      <c r="S86" s="1" t="s">
        <v>81</v>
      </c>
      <c r="T86" s="1"/>
      <c r="U86" s="1"/>
      <c r="V86" s="1"/>
      <c r="W86" s="1" t="s">
        <v>56</v>
      </c>
      <c r="X86" s="4"/>
      <c r="Y86" s="4"/>
      <c r="Z86" s="6">
        <v>0</v>
      </c>
      <c r="AA86" s="4"/>
      <c r="AB86" s="4"/>
      <c r="AC86" s="1" t="s">
        <v>83</v>
      </c>
      <c r="AD86" s="1">
        <v>0</v>
      </c>
      <c r="AE86" s="1">
        <v>25000</v>
      </c>
      <c r="AF86" s="4" t="s">
        <v>84</v>
      </c>
      <c r="AG86" s="1" t="s">
        <v>60</v>
      </c>
      <c r="AH86" s="1"/>
      <c r="AI86" s="1" t="str">
        <f t="shared" si="14"/>
        <v>Watchlist</v>
      </c>
      <c r="AJ86" s="1" t="str">
        <f t="shared" si="15"/>
        <v>Scenario Only - No Close Date</v>
      </c>
      <c r="AK86" s="1" t="str">
        <f t="shared" si="16"/>
        <v>N</v>
      </c>
      <c r="AL86" s="5">
        <f>SUMIFS(SO_Mapping!$F:$F,SO_Mapping!$A:$A,$B86)</f>
        <v>0</v>
      </c>
      <c r="AM86" s="5" t="str">
        <f t="shared" si="17"/>
        <v>N</v>
      </c>
      <c r="AN86" s="5">
        <f t="shared" si="18"/>
        <v>25000</v>
      </c>
      <c r="AO86" s="1" t="str">
        <f t="shared" si="19"/>
        <v>No expected close date</v>
      </c>
      <c r="AP86" s="1" t="str">
        <f t="shared" si="20"/>
        <v/>
      </c>
      <c r="AQ86" s="1"/>
    </row>
    <row r="87" spans="1:43" ht="42">
      <c r="A87" s="1">
        <v>86</v>
      </c>
      <c r="B87" s="1" t="s">
        <v>308</v>
      </c>
      <c r="C87" s="1" t="s">
        <v>309</v>
      </c>
      <c r="D87" s="1" t="s">
        <v>122</v>
      </c>
      <c r="E87" s="1" t="s">
        <v>106</v>
      </c>
      <c r="F87" s="1" t="s">
        <v>69</v>
      </c>
      <c r="G87" s="1" t="s">
        <v>108</v>
      </c>
      <c r="H87" s="1" t="s">
        <v>49</v>
      </c>
      <c r="I87" s="1" t="s">
        <v>50</v>
      </c>
      <c r="J87" s="4" t="s">
        <v>310</v>
      </c>
      <c r="K87" s="5">
        <v>20000</v>
      </c>
      <c r="L87" s="6">
        <v>0.9</v>
      </c>
      <c r="M87" s="5">
        <v>18000</v>
      </c>
      <c r="N87" s="1" t="s">
        <v>311</v>
      </c>
      <c r="O87" s="5">
        <v>16374</v>
      </c>
      <c r="P87" s="5" t="s">
        <v>310</v>
      </c>
      <c r="Q87" s="5">
        <v>3626</v>
      </c>
      <c r="R87" s="1" t="s">
        <v>312</v>
      </c>
      <c r="S87" s="1" t="s">
        <v>54</v>
      </c>
      <c r="T87" s="1"/>
      <c r="U87" s="1"/>
      <c r="V87" s="1"/>
      <c r="W87" s="1" t="s">
        <v>56</v>
      </c>
      <c r="X87" s="4" t="s">
        <v>310</v>
      </c>
      <c r="Y87" s="4" t="s">
        <v>313</v>
      </c>
      <c r="Z87" s="6">
        <v>0</v>
      </c>
      <c r="AA87" s="4"/>
      <c r="AB87" s="4" t="s">
        <v>313</v>
      </c>
      <c r="AC87" s="1" t="s">
        <v>58</v>
      </c>
      <c r="AD87" s="1">
        <v>16374</v>
      </c>
      <c r="AE87" s="1">
        <v>3626</v>
      </c>
      <c r="AF87" s="4" t="s">
        <v>59</v>
      </c>
      <c r="AG87" s="1" t="s">
        <v>60</v>
      </c>
      <c r="AH87" s="1"/>
      <c r="AI87" s="1" t="str">
        <f t="shared" si="14"/>
        <v>Converted/Partially Converted</v>
      </c>
      <c r="AJ87" s="1" t="str">
        <f t="shared" si="15"/>
        <v>Eligible</v>
      </c>
      <c r="AK87" s="1" t="str">
        <f t="shared" si="16"/>
        <v>Y</v>
      </c>
      <c r="AL87" s="5">
        <f>SUMIFS(SO_Mapping!$F:$F,SO_Mapping!$A:$A,$B87)</f>
        <v>16374</v>
      </c>
      <c r="AM87" s="5" t="str">
        <f t="shared" si="17"/>
        <v>N</v>
      </c>
      <c r="AN87" s="5">
        <f t="shared" si="18"/>
        <v>3626</v>
      </c>
      <c r="AO87" s="1" t="str">
        <f t="shared" si="19"/>
        <v>Cash eligible</v>
      </c>
      <c r="AP87" s="1" t="str">
        <f t="shared" si="20"/>
        <v>2026-03-12</v>
      </c>
      <c r="AQ87" s="1"/>
    </row>
    <row r="88" spans="1:43" ht="42">
      <c r="A88" s="1">
        <v>87</v>
      </c>
      <c r="B88" s="1" t="s">
        <v>314</v>
      </c>
      <c r="C88" s="1" t="s">
        <v>315</v>
      </c>
      <c r="D88" s="1" t="s">
        <v>122</v>
      </c>
      <c r="E88" s="1" t="s">
        <v>106</v>
      </c>
      <c r="F88" s="1" t="s">
        <v>107</v>
      </c>
      <c r="G88" s="1" t="s">
        <v>108</v>
      </c>
      <c r="H88" s="1" t="s">
        <v>179</v>
      </c>
      <c r="I88" s="1" t="s">
        <v>50</v>
      </c>
      <c r="J88" s="4"/>
      <c r="K88" s="5">
        <v>20000</v>
      </c>
      <c r="L88" s="6">
        <v>0.9</v>
      </c>
      <c r="M88" s="5">
        <v>18000</v>
      </c>
      <c r="N88" s="1"/>
      <c r="O88" s="5"/>
      <c r="P88" s="5"/>
      <c r="Q88" s="5">
        <v>20000</v>
      </c>
      <c r="R88" s="1" t="s">
        <v>82</v>
      </c>
      <c r="S88" s="1" t="s">
        <v>179</v>
      </c>
      <c r="T88" s="1"/>
      <c r="U88" s="1"/>
      <c r="V88" s="1"/>
      <c r="W88" s="1" t="s">
        <v>56</v>
      </c>
      <c r="X88" s="4"/>
      <c r="Y88" s="4"/>
      <c r="Z88" s="6">
        <v>0</v>
      </c>
      <c r="AA88" s="4"/>
      <c r="AB88" s="4"/>
      <c r="AC88" s="1" t="s">
        <v>83</v>
      </c>
      <c r="AD88" s="1">
        <v>0</v>
      </c>
      <c r="AE88" s="1">
        <v>20000</v>
      </c>
      <c r="AF88" s="4" t="s">
        <v>84</v>
      </c>
      <c r="AG88" s="1" t="s">
        <v>60</v>
      </c>
      <c r="AH88" s="1"/>
      <c r="AI88" s="1" t="str">
        <f t="shared" si="14"/>
        <v>Lost</v>
      </c>
      <c r="AJ88" s="1" t="str">
        <f t="shared" si="15"/>
        <v>Not Eligible - Lost</v>
      </c>
      <c r="AK88" s="1" t="str">
        <f t="shared" si="16"/>
        <v>N</v>
      </c>
      <c r="AL88" s="5">
        <f>SUMIFS(SO_Mapping!$F:$F,SO_Mapping!$A:$A,$B88)</f>
        <v>0</v>
      </c>
      <c r="AM88" s="5" t="str">
        <f t="shared" si="17"/>
        <v>N</v>
      </c>
      <c r="AN88" s="5">
        <f t="shared" si="18"/>
        <v>20000</v>
      </c>
      <c r="AO88" s="1" t="str">
        <f t="shared" si="19"/>
        <v>No expected close date</v>
      </c>
      <c r="AP88" s="1" t="str">
        <f t="shared" si="20"/>
        <v/>
      </c>
      <c r="AQ88" s="1"/>
    </row>
    <row r="89" spans="1:43" ht="42">
      <c r="A89" s="1">
        <v>88</v>
      </c>
      <c r="B89" s="1" t="s">
        <v>316</v>
      </c>
      <c r="C89" s="1" t="s">
        <v>317</v>
      </c>
      <c r="D89" s="1" t="s">
        <v>122</v>
      </c>
      <c r="E89" s="1" t="s">
        <v>106</v>
      </c>
      <c r="F89" s="1" t="s">
        <v>107</v>
      </c>
      <c r="G89" s="1" t="s">
        <v>108</v>
      </c>
      <c r="H89" s="1" t="s">
        <v>179</v>
      </c>
      <c r="I89" s="1" t="s">
        <v>50</v>
      </c>
      <c r="J89" s="4"/>
      <c r="K89" s="5">
        <v>20000</v>
      </c>
      <c r="L89" s="6">
        <v>0.9</v>
      </c>
      <c r="M89" s="5">
        <v>18000</v>
      </c>
      <c r="N89" s="1"/>
      <c r="O89" s="5"/>
      <c r="P89" s="5"/>
      <c r="Q89" s="5">
        <v>20000</v>
      </c>
      <c r="R89" s="1" t="s">
        <v>82</v>
      </c>
      <c r="S89" s="1" t="s">
        <v>179</v>
      </c>
      <c r="T89" s="1"/>
      <c r="U89" s="1"/>
      <c r="V89" s="1"/>
      <c r="W89" s="1" t="s">
        <v>56</v>
      </c>
      <c r="X89" s="4"/>
      <c r="Y89" s="4"/>
      <c r="Z89" s="6">
        <v>0</v>
      </c>
      <c r="AA89" s="4"/>
      <c r="AB89" s="4"/>
      <c r="AC89" s="1" t="s">
        <v>83</v>
      </c>
      <c r="AD89" s="1">
        <v>0</v>
      </c>
      <c r="AE89" s="1">
        <v>20000</v>
      </c>
      <c r="AF89" s="4" t="s">
        <v>84</v>
      </c>
      <c r="AG89" s="1" t="s">
        <v>60</v>
      </c>
      <c r="AH89" s="1"/>
      <c r="AI89" s="1" t="str">
        <f t="shared" si="14"/>
        <v>Lost</v>
      </c>
      <c r="AJ89" s="1" t="str">
        <f t="shared" si="15"/>
        <v>Not Eligible - Lost</v>
      </c>
      <c r="AK89" s="1" t="str">
        <f t="shared" si="16"/>
        <v>N</v>
      </c>
      <c r="AL89" s="5">
        <f>SUMIFS(SO_Mapping!$F:$F,SO_Mapping!$A:$A,$B89)</f>
        <v>0</v>
      </c>
      <c r="AM89" s="5" t="str">
        <f t="shared" si="17"/>
        <v>N</v>
      </c>
      <c r="AN89" s="5">
        <f t="shared" si="18"/>
        <v>20000</v>
      </c>
      <c r="AO89" s="1" t="str">
        <f t="shared" si="19"/>
        <v>No expected close date</v>
      </c>
      <c r="AP89" s="1" t="str">
        <f t="shared" si="20"/>
        <v/>
      </c>
      <c r="AQ89" s="1"/>
    </row>
    <row r="90" spans="1:43" ht="42">
      <c r="A90" s="1">
        <v>89</v>
      </c>
      <c r="B90" s="1" t="s">
        <v>318</v>
      </c>
      <c r="C90" s="1" t="s">
        <v>319</v>
      </c>
      <c r="D90" s="1" t="s">
        <v>320</v>
      </c>
      <c r="E90" s="1" t="s">
        <v>118</v>
      </c>
      <c r="F90" s="1" t="s">
        <v>47</v>
      </c>
      <c r="G90" s="1" t="s">
        <v>97</v>
      </c>
      <c r="H90" s="1" t="s">
        <v>81</v>
      </c>
      <c r="I90" s="1" t="s">
        <v>50</v>
      </c>
      <c r="J90" s="4"/>
      <c r="K90" s="5">
        <v>20000</v>
      </c>
      <c r="L90" s="6">
        <v>0.9</v>
      </c>
      <c r="M90" s="5">
        <v>18000</v>
      </c>
      <c r="N90" s="1"/>
      <c r="O90" s="5"/>
      <c r="P90" s="5"/>
      <c r="Q90" s="5">
        <v>20000</v>
      </c>
      <c r="R90" s="1" t="s">
        <v>82</v>
      </c>
      <c r="S90" s="1" t="s">
        <v>81</v>
      </c>
      <c r="T90" s="1"/>
      <c r="U90" s="1"/>
      <c r="V90" s="1"/>
      <c r="W90" s="1" t="s">
        <v>56</v>
      </c>
      <c r="X90" s="4"/>
      <c r="Y90" s="4"/>
      <c r="Z90" s="6">
        <v>0</v>
      </c>
      <c r="AA90" s="4"/>
      <c r="AB90" s="4"/>
      <c r="AC90" s="1" t="s">
        <v>83</v>
      </c>
      <c r="AD90" s="1">
        <v>0</v>
      </c>
      <c r="AE90" s="1">
        <v>20000</v>
      </c>
      <c r="AF90" s="4" t="s">
        <v>84</v>
      </c>
      <c r="AG90" s="1" t="s">
        <v>60</v>
      </c>
      <c r="AH90" s="1"/>
      <c r="AI90" s="1" t="str">
        <f t="shared" si="14"/>
        <v>Watchlist</v>
      </c>
      <c r="AJ90" s="1" t="str">
        <f t="shared" si="15"/>
        <v>Scenario Only - No Close Date</v>
      </c>
      <c r="AK90" s="1" t="str">
        <f t="shared" si="16"/>
        <v>N</v>
      </c>
      <c r="AL90" s="5">
        <f>SUMIFS(SO_Mapping!$F:$F,SO_Mapping!$A:$A,$B90)</f>
        <v>0</v>
      </c>
      <c r="AM90" s="5" t="str">
        <f t="shared" si="17"/>
        <v>N</v>
      </c>
      <c r="AN90" s="5">
        <f t="shared" si="18"/>
        <v>20000</v>
      </c>
      <c r="AO90" s="1" t="str">
        <f t="shared" si="19"/>
        <v>No expected close date</v>
      </c>
      <c r="AP90" s="1" t="str">
        <f t="shared" si="20"/>
        <v/>
      </c>
      <c r="AQ90" s="1"/>
    </row>
    <row r="91" spans="1:43" ht="42">
      <c r="A91" s="1">
        <v>90</v>
      </c>
      <c r="B91" s="1" t="s">
        <v>321</v>
      </c>
      <c r="C91" s="1" t="s">
        <v>322</v>
      </c>
      <c r="D91" s="1" t="s">
        <v>191</v>
      </c>
      <c r="E91" s="1" t="s">
        <v>106</v>
      </c>
      <c r="F91" s="1" t="s">
        <v>47</v>
      </c>
      <c r="G91" s="1" t="s">
        <v>108</v>
      </c>
      <c r="H91" s="1" t="s">
        <v>81</v>
      </c>
      <c r="I91" s="1" t="s">
        <v>50</v>
      </c>
      <c r="J91" s="4"/>
      <c r="K91" s="5">
        <v>65000</v>
      </c>
      <c r="L91" s="6">
        <v>0.25</v>
      </c>
      <c r="M91" s="5">
        <v>16250</v>
      </c>
      <c r="N91" s="1"/>
      <c r="O91" s="5"/>
      <c r="P91" s="5"/>
      <c r="Q91" s="5">
        <v>65000</v>
      </c>
      <c r="R91" s="1" t="s">
        <v>82</v>
      </c>
      <c r="S91" s="1" t="s">
        <v>81</v>
      </c>
      <c r="T91" s="1"/>
      <c r="U91" s="1"/>
      <c r="V91" s="1"/>
      <c r="W91" s="1" t="s">
        <v>56</v>
      </c>
      <c r="X91" s="4"/>
      <c r="Y91" s="4"/>
      <c r="Z91" s="6">
        <v>0</v>
      </c>
      <c r="AA91" s="4"/>
      <c r="AB91" s="4"/>
      <c r="AC91" s="1" t="s">
        <v>83</v>
      </c>
      <c r="AD91" s="1">
        <v>0</v>
      </c>
      <c r="AE91" s="1">
        <v>65000</v>
      </c>
      <c r="AF91" s="4" t="s">
        <v>84</v>
      </c>
      <c r="AG91" s="1" t="s">
        <v>60</v>
      </c>
      <c r="AH91" s="1"/>
      <c r="AI91" s="1" t="str">
        <f t="shared" si="14"/>
        <v>Watchlist</v>
      </c>
      <c r="AJ91" s="1" t="str">
        <f t="shared" si="15"/>
        <v>Scenario Only - No Close Date</v>
      </c>
      <c r="AK91" s="1" t="str">
        <f t="shared" si="16"/>
        <v>N</v>
      </c>
      <c r="AL91" s="5">
        <f>SUMIFS(SO_Mapping!$F:$F,SO_Mapping!$A:$A,$B91)</f>
        <v>0</v>
      </c>
      <c r="AM91" s="5" t="str">
        <f t="shared" si="17"/>
        <v>N</v>
      </c>
      <c r="AN91" s="5">
        <f t="shared" si="18"/>
        <v>65000</v>
      </c>
      <c r="AO91" s="1" t="str">
        <f t="shared" si="19"/>
        <v>No expected close date</v>
      </c>
      <c r="AP91" s="1" t="str">
        <f t="shared" si="20"/>
        <v/>
      </c>
      <c r="AQ91" s="1"/>
    </row>
    <row r="92" spans="1:43" ht="42">
      <c r="A92" s="1">
        <v>91</v>
      </c>
      <c r="B92" s="1" t="s">
        <v>323</v>
      </c>
      <c r="C92" s="1" t="s">
        <v>250</v>
      </c>
      <c r="D92" s="1" t="s">
        <v>251</v>
      </c>
      <c r="E92" s="1" t="s">
        <v>96</v>
      </c>
      <c r="F92" s="1" t="s">
        <v>107</v>
      </c>
      <c r="G92" s="1" t="s">
        <v>97</v>
      </c>
      <c r="H92" s="1" t="s">
        <v>49</v>
      </c>
      <c r="I92" s="1" t="s">
        <v>50</v>
      </c>
      <c r="J92" s="4" t="s">
        <v>164</v>
      </c>
      <c r="K92" s="5">
        <v>18000</v>
      </c>
      <c r="L92" s="6">
        <v>0.9</v>
      </c>
      <c r="M92" s="5">
        <v>16200</v>
      </c>
      <c r="N92" s="1" t="s">
        <v>324</v>
      </c>
      <c r="O92" s="5">
        <v>18207</v>
      </c>
      <c r="P92" s="5" t="s">
        <v>164</v>
      </c>
      <c r="Q92" s="5"/>
      <c r="R92" s="1" t="s">
        <v>325</v>
      </c>
      <c r="S92" s="1" t="s">
        <v>101</v>
      </c>
      <c r="T92" s="1"/>
      <c r="U92" s="1"/>
      <c r="V92" s="1"/>
      <c r="W92" s="1" t="s">
        <v>56</v>
      </c>
      <c r="X92" s="4" t="s">
        <v>164</v>
      </c>
      <c r="Y92" s="4" t="s">
        <v>167</v>
      </c>
      <c r="Z92" s="6">
        <v>0</v>
      </c>
      <c r="AA92" s="4"/>
      <c r="AB92" s="4" t="s">
        <v>167</v>
      </c>
      <c r="AC92" s="1" t="s">
        <v>58</v>
      </c>
      <c r="AD92" s="1">
        <v>18207</v>
      </c>
      <c r="AE92" s="1">
        <v>0</v>
      </c>
      <c r="AF92" s="4" t="s">
        <v>59</v>
      </c>
      <c r="AG92" s="1" t="s">
        <v>60</v>
      </c>
      <c r="AH92" s="1"/>
      <c r="AI92" s="1" t="str">
        <f t="shared" si="14"/>
        <v>Converted/Partially Converted</v>
      </c>
      <c r="AJ92" s="1" t="str">
        <f t="shared" si="15"/>
        <v>Eligible</v>
      </c>
      <c r="AK92" s="1" t="str">
        <f t="shared" si="16"/>
        <v>Y</v>
      </c>
      <c r="AL92" s="5">
        <f>SUMIFS(SO_Mapping!$F:$F,SO_Mapping!$A:$A,$B92)</f>
        <v>18207</v>
      </c>
      <c r="AM92" s="5" t="str">
        <f t="shared" si="17"/>
        <v>N</v>
      </c>
      <c r="AN92" s="5">
        <f t="shared" si="18"/>
        <v>0</v>
      </c>
      <c r="AO92" s="1" t="str">
        <f t="shared" si="19"/>
        <v>Cash eligible</v>
      </c>
      <c r="AP92" s="1" t="str">
        <f t="shared" si="20"/>
        <v>2026-01-31</v>
      </c>
      <c r="AQ92" s="1"/>
    </row>
    <row r="93" spans="1:43" ht="42">
      <c r="A93" s="1">
        <v>92</v>
      </c>
      <c r="B93" s="1" t="s">
        <v>326</v>
      </c>
      <c r="C93" s="1" t="s">
        <v>327</v>
      </c>
      <c r="D93" s="1" t="s">
        <v>261</v>
      </c>
      <c r="E93" s="1" t="s">
        <v>106</v>
      </c>
      <c r="F93" s="1" t="s">
        <v>63</v>
      </c>
      <c r="G93" s="1" t="s">
        <v>108</v>
      </c>
      <c r="H93" s="1" t="s">
        <v>81</v>
      </c>
      <c r="I93" s="1" t="s">
        <v>50</v>
      </c>
      <c r="J93" s="4"/>
      <c r="K93" s="5">
        <v>20000</v>
      </c>
      <c r="L93" s="6">
        <v>0.75</v>
      </c>
      <c r="M93" s="5">
        <v>15000</v>
      </c>
      <c r="N93" s="1"/>
      <c r="O93" s="5"/>
      <c r="P93" s="5"/>
      <c r="Q93" s="5">
        <v>20000</v>
      </c>
      <c r="R93" s="1" t="s">
        <v>82</v>
      </c>
      <c r="S93" s="1" t="s">
        <v>81</v>
      </c>
      <c r="T93" s="1"/>
      <c r="U93" s="1"/>
      <c r="V93" s="1"/>
      <c r="W93" s="1" t="s">
        <v>56</v>
      </c>
      <c r="X93" s="4"/>
      <c r="Y93" s="4"/>
      <c r="Z93" s="6">
        <v>0</v>
      </c>
      <c r="AA93" s="4"/>
      <c r="AB93" s="4"/>
      <c r="AC93" s="1" t="s">
        <v>83</v>
      </c>
      <c r="AD93" s="1">
        <v>0</v>
      </c>
      <c r="AE93" s="1">
        <v>20000</v>
      </c>
      <c r="AF93" s="4" t="s">
        <v>84</v>
      </c>
      <c r="AG93" s="1" t="s">
        <v>60</v>
      </c>
      <c r="AH93" s="1"/>
      <c r="AI93" s="1" t="str">
        <f t="shared" si="14"/>
        <v>Watchlist</v>
      </c>
      <c r="AJ93" s="1" t="str">
        <f t="shared" si="15"/>
        <v>Scenario Only - No Close Date</v>
      </c>
      <c r="AK93" s="1" t="str">
        <f t="shared" si="16"/>
        <v>N</v>
      </c>
      <c r="AL93" s="5">
        <f>SUMIFS(SO_Mapping!$F:$F,SO_Mapping!$A:$A,$B93)</f>
        <v>0</v>
      </c>
      <c r="AM93" s="5" t="str">
        <f t="shared" si="17"/>
        <v>N</v>
      </c>
      <c r="AN93" s="5">
        <f t="shared" si="18"/>
        <v>20000</v>
      </c>
      <c r="AO93" s="1" t="str">
        <f t="shared" si="19"/>
        <v>No expected close date</v>
      </c>
      <c r="AP93" s="1" t="str">
        <f t="shared" si="20"/>
        <v/>
      </c>
      <c r="AQ93" s="1"/>
    </row>
    <row r="94" spans="1:43" ht="42">
      <c r="A94" s="1">
        <v>93</v>
      </c>
      <c r="B94" s="1" t="s">
        <v>328</v>
      </c>
      <c r="C94" s="1" t="s">
        <v>329</v>
      </c>
      <c r="D94" s="1" t="s">
        <v>122</v>
      </c>
      <c r="E94" s="1" t="s">
        <v>106</v>
      </c>
      <c r="F94" s="1" t="s">
        <v>107</v>
      </c>
      <c r="G94" s="1" t="s">
        <v>108</v>
      </c>
      <c r="H94" s="1" t="s">
        <v>179</v>
      </c>
      <c r="I94" s="1" t="s">
        <v>50</v>
      </c>
      <c r="J94" s="4"/>
      <c r="K94" s="5">
        <v>13000</v>
      </c>
      <c r="L94" s="6">
        <v>0.9</v>
      </c>
      <c r="M94" s="5">
        <v>11700</v>
      </c>
      <c r="N94" s="1"/>
      <c r="O94" s="5"/>
      <c r="P94" s="5"/>
      <c r="Q94" s="5">
        <v>13000</v>
      </c>
      <c r="R94" s="1" t="s">
        <v>82</v>
      </c>
      <c r="S94" s="1" t="s">
        <v>179</v>
      </c>
      <c r="T94" s="1"/>
      <c r="U94" s="1"/>
      <c r="V94" s="1"/>
      <c r="W94" s="1" t="s">
        <v>56</v>
      </c>
      <c r="X94" s="4"/>
      <c r="Y94" s="4"/>
      <c r="Z94" s="6">
        <v>0</v>
      </c>
      <c r="AA94" s="4"/>
      <c r="AB94" s="4"/>
      <c r="AC94" s="1" t="s">
        <v>83</v>
      </c>
      <c r="AD94" s="1">
        <v>0</v>
      </c>
      <c r="AE94" s="1">
        <v>13000</v>
      </c>
      <c r="AF94" s="4" t="s">
        <v>84</v>
      </c>
      <c r="AG94" s="1" t="s">
        <v>60</v>
      </c>
      <c r="AH94" s="1"/>
      <c r="AI94" s="1" t="str">
        <f t="shared" si="14"/>
        <v>Lost</v>
      </c>
      <c r="AJ94" s="1" t="str">
        <f t="shared" si="15"/>
        <v>Not Eligible - Lost</v>
      </c>
      <c r="AK94" s="1" t="str">
        <f t="shared" si="16"/>
        <v>N</v>
      </c>
      <c r="AL94" s="5">
        <f>SUMIFS(SO_Mapping!$F:$F,SO_Mapping!$A:$A,$B94)</f>
        <v>0</v>
      </c>
      <c r="AM94" s="5" t="str">
        <f t="shared" si="17"/>
        <v>N</v>
      </c>
      <c r="AN94" s="5">
        <f t="shared" si="18"/>
        <v>13000</v>
      </c>
      <c r="AO94" s="1" t="str">
        <f t="shared" si="19"/>
        <v>No expected close date</v>
      </c>
      <c r="AP94" s="1" t="str">
        <f t="shared" si="20"/>
        <v/>
      </c>
      <c r="AQ94" s="1"/>
    </row>
    <row r="95" spans="1:43" ht="42">
      <c r="A95" s="1">
        <v>94</v>
      </c>
      <c r="B95" s="1" t="s">
        <v>330</v>
      </c>
      <c r="C95" s="1" t="s">
        <v>331</v>
      </c>
      <c r="D95" s="1" t="s">
        <v>122</v>
      </c>
      <c r="E95" s="1" t="s">
        <v>106</v>
      </c>
      <c r="F95" s="1" t="s">
        <v>107</v>
      </c>
      <c r="G95" s="1" t="s">
        <v>108</v>
      </c>
      <c r="H95" s="1" t="s">
        <v>179</v>
      </c>
      <c r="I95" s="1" t="s">
        <v>50</v>
      </c>
      <c r="J95" s="4"/>
      <c r="K95" s="5">
        <v>13000</v>
      </c>
      <c r="L95" s="6">
        <v>0.9</v>
      </c>
      <c r="M95" s="5">
        <v>11700</v>
      </c>
      <c r="N95" s="1"/>
      <c r="O95" s="5"/>
      <c r="P95" s="5"/>
      <c r="Q95" s="5">
        <v>13000</v>
      </c>
      <c r="R95" s="1" t="s">
        <v>82</v>
      </c>
      <c r="S95" s="1" t="s">
        <v>179</v>
      </c>
      <c r="T95" s="1"/>
      <c r="U95" s="1"/>
      <c r="V95" s="1"/>
      <c r="W95" s="1" t="s">
        <v>56</v>
      </c>
      <c r="X95" s="4"/>
      <c r="Y95" s="4"/>
      <c r="Z95" s="6">
        <v>0</v>
      </c>
      <c r="AA95" s="4"/>
      <c r="AB95" s="4"/>
      <c r="AC95" s="1" t="s">
        <v>83</v>
      </c>
      <c r="AD95" s="1">
        <v>0</v>
      </c>
      <c r="AE95" s="1">
        <v>13000</v>
      </c>
      <c r="AF95" s="4" t="s">
        <v>84</v>
      </c>
      <c r="AG95" s="1" t="s">
        <v>60</v>
      </c>
      <c r="AH95" s="1"/>
      <c r="AI95" s="1" t="str">
        <f t="shared" si="14"/>
        <v>Lost</v>
      </c>
      <c r="AJ95" s="1" t="str">
        <f t="shared" si="15"/>
        <v>Not Eligible - Lost</v>
      </c>
      <c r="AK95" s="1" t="str">
        <f t="shared" si="16"/>
        <v>N</v>
      </c>
      <c r="AL95" s="5">
        <f>SUMIFS(SO_Mapping!$F:$F,SO_Mapping!$A:$A,$B95)</f>
        <v>0</v>
      </c>
      <c r="AM95" s="5" t="str">
        <f t="shared" si="17"/>
        <v>N</v>
      </c>
      <c r="AN95" s="5">
        <f t="shared" si="18"/>
        <v>13000</v>
      </c>
      <c r="AO95" s="1" t="str">
        <f t="shared" si="19"/>
        <v>No expected close date</v>
      </c>
      <c r="AP95" s="1" t="str">
        <f t="shared" si="20"/>
        <v/>
      </c>
      <c r="AQ95" s="1"/>
    </row>
    <row r="96" spans="1:43" ht="42">
      <c r="A96" s="1">
        <v>95</v>
      </c>
      <c r="B96" s="1" t="s">
        <v>332</v>
      </c>
      <c r="C96" s="1" t="s">
        <v>333</v>
      </c>
      <c r="D96" s="1" t="s">
        <v>334</v>
      </c>
      <c r="E96" s="1" t="s">
        <v>106</v>
      </c>
      <c r="F96" s="1" t="s">
        <v>63</v>
      </c>
      <c r="G96" s="1" t="s">
        <v>108</v>
      </c>
      <c r="H96" s="1" t="s">
        <v>81</v>
      </c>
      <c r="I96" s="1" t="s">
        <v>50</v>
      </c>
      <c r="J96" s="4"/>
      <c r="K96" s="5">
        <v>20000</v>
      </c>
      <c r="L96" s="6">
        <v>0.5</v>
      </c>
      <c r="M96" s="5">
        <v>10000</v>
      </c>
      <c r="N96" s="1"/>
      <c r="O96" s="5"/>
      <c r="P96" s="5"/>
      <c r="Q96" s="5">
        <v>20000</v>
      </c>
      <c r="R96" s="1" t="s">
        <v>82</v>
      </c>
      <c r="S96" s="1" t="s">
        <v>81</v>
      </c>
      <c r="T96" s="1"/>
      <c r="U96" s="1"/>
      <c r="V96" s="1"/>
      <c r="W96" s="1" t="s">
        <v>56</v>
      </c>
      <c r="X96" s="4"/>
      <c r="Y96" s="4"/>
      <c r="Z96" s="6">
        <v>0</v>
      </c>
      <c r="AA96" s="4"/>
      <c r="AB96" s="4"/>
      <c r="AC96" s="1" t="s">
        <v>83</v>
      </c>
      <c r="AD96" s="1">
        <v>0</v>
      </c>
      <c r="AE96" s="1">
        <v>20000</v>
      </c>
      <c r="AF96" s="4" t="s">
        <v>84</v>
      </c>
      <c r="AG96" s="1" t="s">
        <v>60</v>
      </c>
      <c r="AH96" s="1"/>
      <c r="AI96" s="1" t="str">
        <f t="shared" si="14"/>
        <v>Watchlist</v>
      </c>
      <c r="AJ96" s="1" t="str">
        <f t="shared" si="15"/>
        <v>Scenario Only - No Close Date</v>
      </c>
      <c r="AK96" s="1" t="str">
        <f t="shared" si="16"/>
        <v>N</v>
      </c>
      <c r="AL96" s="5">
        <f>SUMIFS(SO_Mapping!$F:$F,SO_Mapping!$A:$A,$B96)</f>
        <v>0</v>
      </c>
      <c r="AM96" s="5" t="str">
        <f t="shared" si="17"/>
        <v>N</v>
      </c>
      <c r="AN96" s="5">
        <f t="shared" si="18"/>
        <v>20000</v>
      </c>
      <c r="AO96" s="1" t="str">
        <f t="shared" si="19"/>
        <v>No expected close date</v>
      </c>
      <c r="AP96" s="1" t="str">
        <f t="shared" si="20"/>
        <v/>
      </c>
      <c r="AQ96" s="1"/>
    </row>
    <row r="97" spans="1:43" ht="42">
      <c r="A97" s="1">
        <v>96</v>
      </c>
      <c r="B97" s="1" t="s">
        <v>335</v>
      </c>
      <c r="C97" s="1" t="s">
        <v>336</v>
      </c>
      <c r="D97" s="1" t="s">
        <v>334</v>
      </c>
      <c r="E97" s="1" t="s">
        <v>106</v>
      </c>
      <c r="F97" s="1" t="s">
        <v>63</v>
      </c>
      <c r="G97" s="1" t="s">
        <v>108</v>
      </c>
      <c r="H97" s="1" t="s">
        <v>81</v>
      </c>
      <c r="I97" s="1" t="s">
        <v>50</v>
      </c>
      <c r="J97" s="4"/>
      <c r="K97" s="5">
        <v>20000</v>
      </c>
      <c r="L97" s="6">
        <v>0.5</v>
      </c>
      <c r="M97" s="5">
        <v>10000</v>
      </c>
      <c r="N97" s="1"/>
      <c r="O97" s="5"/>
      <c r="P97" s="5"/>
      <c r="Q97" s="5">
        <v>20000</v>
      </c>
      <c r="R97" s="1" t="s">
        <v>82</v>
      </c>
      <c r="S97" s="1" t="s">
        <v>81</v>
      </c>
      <c r="T97" s="1"/>
      <c r="U97" s="1"/>
      <c r="V97" s="1"/>
      <c r="W97" s="1" t="s">
        <v>56</v>
      </c>
      <c r="X97" s="4"/>
      <c r="Y97" s="4"/>
      <c r="Z97" s="6">
        <v>0</v>
      </c>
      <c r="AA97" s="4"/>
      <c r="AB97" s="4"/>
      <c r="AC97" s="1" t="s">
        <v>83</v>
      </c>
      <c r="AD97" s="1">
        <v>0</v>
      </c>
      <c r="AE97" s="1">
        <v>20000</v>
      </c>
      <c r="AF97" s="4" t="s">
        <v>84</v>
      </c>
      <c r="AG97" s="1" t="s">
        <v>60</v>
      </c>
      <c r="AH97" s="1"/>
      <c r="AI97" s="1" t="str">
        <f t="shared" si="14"/>
        <v>Watchlist</v>
      </c>
      <c r="AJ97" s="1" t="str">
        <f t="shared" si="15"/>
        <v>Scenario Only - No Close Date</v>
      </c>
      <c r="AK97" s="1" t="str">
        <f t="shared" si="16"/>
        <v>N</v>
      </c>
      <c r="AL97" s="5">
        <f>SUMIFS(SO_Mapping!$F:$F,SO_Mapping!$A:$A,$B97)</f>
        <v>0</v>
      </c>
      <c r="AM97" s="5" t="str">
        <f t="shared" si="17"/>
        <v>N</v>
      </c>
      <c r="AN97" s="5">
        <f t="shared" si="18"/>
        <v>20000</v>
      </c>
      <c r="AO97" s="1" t="str">
        <f t="shared" si="19"/>
        <v>No expected close date</v>
      </c>
      <c r="AP97" s="1" t="str">
        <f t="shared" si="20"/>
        <v/>
      </c>
      <c r="AQ97" s="1"/>
    </row>
    <row r="98" spans="1:43" ht="42">
      <c r="A98" s="1">
        <v>97</v>
      </c>
      <c r="B98" s="1" t="s">
        <v>337</v>
      </c>
      <c r="C98" s="1" t="s">
        <v>338</v>
      </c>
      <c r="D98" s="1" t="s">
        <v>246</v>
      </c>
      <c r="E98" s="1" t="s">
        <v>106</v>
      </c>
      <c r="F98" s="1" t="s">
        <v>69</v>
      </c>
      <c r="G98" s="1" t="s">
        <v>108</v>
      </c>
      <c r="H98" s="1" t="s">
        <v>81</v>
      </c>
      <c r="I98" s="1" t="s">
        <v>50</v>
      </c>
      <c r="J98" s="4"/>
      <c r="K98" s="5">
        <v>10000</v>
      </c>
      <c r="L98" s="6">
        <v>0.8</v>
      </c>
      <c r="M98" s="5">
        <v>8000</v>
      </c>
      <c r="N98" s="1"/>
      <c r="O98" s="5"/>
      <c r="P98" s="5"/>
      <c r="Q98" s="5">
        <v>10000</v>
      </c>
      <c r="R98" s="1" t="s">
        <v>82</v>
      </c>
      <c r="S98" s="1" t="s">
        <v>81</v>
      </c>
      <c r="T98" s="1"/>
      <c r="U98" s="1"/>
      <c r="V98" s="1"/>
      <c r="W98" s="1" t="s">
        <v>56</v>
      </c>
      <c r="X98" s="4"/>
      <c r="Y98" s="4"/>
      <c r="Z98" s="6">
        <v>0</v>
      </c>
      <c r="AA98" s="4"/>
      <c r="AB98" s="4"/>
      <c r="AC98" s="1" t="s">
        <v>83</v>
      </c>
      <c r="AD98" s="1">
        <v>0</v>
      </c>
      <c r="AE98" s="1">
        <v>10000</v>
      </c>
      <c r="AF98" s="4" t="s">
        <v>84</v>
      </c>
      <c r="AG98" s="1" t="s">
        <v>60</v>
      </c>
      <c r="AH98" s="1"/>
      <c r="AI98" s="1" t="str">
        <f t="shared" ref="AI98:AI111" si="21">IF(OR($H98="Lost",$H98="Dead"),"Lost",IF($I98&lt;&gt;"Y","Excluded",IF($N98&lt;&gt;"","Converted/Partially Converted",IF($J98="","Watchlist","Active"))))</f>
        <v>Watchlist</v>
      </c>
      <c r="AJ98" s="1" t="str">
        <f t="shared" ref="AJ98:AJ111" si="22">IF($I98&lt;&gt;"Y","Not Eligible - Excluded",IF(OR($H98="Lost",$H98="Dead"),"Not Eligible - Lost",IF($J98="","Scenario Only - No Close Date",IF($X98="","Scenario Only - No Ship Date",IF($Y98="","Scenario Only - No Cash Date",IF($AM98="Y","Not Eligible - SO Mapping Review","Eligible"))))))</f>
        <v>Scenario Only - No Close Date</v>
      </c>
      <c r="AK98" s="1" t="str">
        <f t="shared" ref="AK98:AK111" si="23">IF($AJ98="Eligible","Y","N")</f>
        <v>N</v>
      </c>
      <c r="AL98" s="5">
        <f>SUMIFS(SO_Mapping!$F:$F,SO_Mapping!$A:$A,$B98)</f>
        <v>0</v>
      </c>
      <c r="AM98" s="5" t="str">
        <f t="shared" ref="AM98:AM111" si="24">IF(AND($N98&lt;&gt;"",$AL98=0),"Y",IF(ABS($O98-$AL98)&gt;1,"Y","N"))</f>
        <v>N</v>
      </c>
      <c r="AN98" s="5">
        <f t="shared" ref="AN98:AN111" si="25">MAX(0,$K98-$AL98)</f>
        <v>10000</v>
      </c>
      <c r="AO98" s="1" t="str">
        <f t="shared" ref="AO98:AO111" si="26">IF($AK98="Y","Cash eligible",IF($I98&lt;&gt;"Y","Excluded by control flag",IF($J98="","No expected close date",IF($X98="","No ship/invoice timing",IF($Y98="","No cash timing",IF($AM98="Y","SO mapping must be resolved","Review required"))))))</f>
        <v>No expected close date</v>
      </c>
      <c r="AP98" s="1" t="str">
        <f t="shared" ref="AP98:AP111" si="27">IF($AK98="Y",TEXT($Y98,"yyyy-mm-dd"),"")</f>
        <v/>
      </c>
      <c r="AQ98" s="1"/>
    </row>
    <row r="99" spans="1:43" ht="42">
      <c r="A99" s="1">
        <v>98</v>
      </c>
      <c r="B99" s="1" t="s">
        <v>339</v>
      </c>
      <c r="C99" s="1" t="s">
        <v>340</v>
      </c>
      <c r="D99" s="1" t="s">
        <v>246</v>
      </c>
      <c r="E99" s="1" t="s">
        <v>106</v>
      </c>
      <c r="F99" s="1" t="s">
        <v>69</v>
      </c>
      <c r="G99" s="1" t="s">
        <v>108</v>
      </c>
      <c r="H99" s="1" t="s">
        <v>81</v>
      </c>
      <c r="I99" s="1" t="s">
        <v>50</v>
      </c>
      <c r="J99" s="4"/>
      <c r="K99" s="5">
        <v>10000</v>
      </c>
      <c r="L99" s="6">
        <v>0.8</v>
      </c>
      <c r="M99" s="5">
        <v>8000</v>
      </c>
      <c r="N99" s="1"/>
      <c r="O99" s="5"/>
      <c r="P99" s="5"/>
      <c r="Q99" s="5">
        <v>10000</v>
      </c>
      <c r="R99" s="1" t="s">
        <v>82</v>
      </c>
      <c r="S99" s="1" t="s">
        <v>81</v>
      </c>
      <c r="T99" s="1"/>
      <c r="U99" s="1"/>
      <c r="V99" s="1"/>
      <c r="W99" s="1" t="s">
        <v>56</v>
      </c>
      <c r="X99" s="4"/>
      <c r="Y99" s="4"/>
      <c r="Z99" s="6">
        <v>0</v>
      </c>
      <c r="AA99" s="4"/>
      <c r="AB99" s="4"/>
      <c r="AC99" s="1" t="s">
        <v>83</v>
      </c>
      <c r="AD99" s="1">
        <v>0</v>
      </c>
      <c r="AE99" s="1">
        <v>10000</v>
      </c>
      <c r="AF99" s="4" t="s">
        <v>84</v>
      </c>
      <c r="AG99" s="1" t="s">
        <v>60</v>
      </c>
      <c r="AH99" s="1"/>
      <c r="AI99" s="1" t="str">
        <f t="shared" si="21"/>
        <v>Watchlist</v>
      </c>
      <c r="AJ99" s="1" t="str">
        <f t="shared" si="22"/>
        <v>Scenario Only - No Close Date</v>
      </c>
      <c r="AK99" s="1" t="str">
        <f t="shared" si="23"/>
        <v>N</v>
      </c>
      <c r="AL99" s="5">
        <f>SUMIFS(SO_Mapping!$F:$F,SO_Mapping!$A:$A,$B99)</f>
        <v>0</v>
      </c>
      <c r="AM99" s="5" t="str">
        <f t="shared" si="24"/>
        <v>N</v>
      </c>
      <c r="AN99" s="5">
        <f t="shared" si="25"/>
        <v>10000</v>
      </c>
      <c r="AO99" s="1" t="str">
        <f t="shared" si="26"/>
        <v>No expected close date</v>
      </c>
      <c r="AP99" s="1" t="str">
        <f t="shared" si="27"/>
        <v/>
      </c>
      <c r="AQ99" s="1"/>
    </row>
    <row r="100" spans="1:43" ht="56">
      <c r="A100" s="1">
        <v>99</v>
      </c>
      <c r="B100" s="1" t="s">
        <v>341</v>
      </c>
      <c r="C100" s="1" t="s">
        <v>342</v>
      </c>
      <c r="D100" s="1" t="s">
        <v>246</v>
      </c>
      <c r="E100" s="1" t="s">
        <v>106</v>
      </c>
      <c r="F100" s="1" t="s">
        <v>69</v>
      </c>
      <c r="G100" s="1" t="s">
        <v>108</v>
      </c>
      <c r="H100" s="1" t="s">
        <v>49</v>
      </c>
      <c r="I100" s="1" t="s">
        <v>50</v>
      </c>
      <c r="J100" s="4" t="s">
        <v>286</v>
      </c>
      <c r="K100" s="5">
        <v>10000</v>
      </c>
      <c r="L100" s="6">
        <v>0.75</v>
      </c>
      <c r="M100" s="5">
        <v>7500</v>
      </c>
      <c r="N100" s="1" t="s">
        <v>343</v>
      </c>
      <c r="O100" s="5">
        <v>44550</v>
      </c>
      <c r="P100" s="5" t="s">
        <v>286</v>
      </c>
      <c r="Q100" s="5"/>
      <c r="R100" s="1" t="s">
        <v>344</v>
      </c>
      <c r="S100" s="1" t="s">
        <v>101</v>
      </c>
      <c r="T100" s="1"/>
      <c r="U100" s="1"/>
      <c r="V100" s="1"/>
      <c r="W100" s="1" t="s">
        <v>112</v>
      </c>
      <c r="X100" s="4" t="s">
        <v>286</v>
      </c>
      <c r="Y100" s="4" t="s">
        <v>289</v>
      </c>
      <c r="Z100" s="6">
        <v>0</v>
      </c>
      <c r="AA100" s="4"/>
      <c r="AB100" s="4" t="s">
        <v>289</v>
      </c>
      <c r="AC100" s="1" t="s">
        <v>58</v>
      </c>
      <c r="AD100" s="1">
        <v>44550</v>
      </c>
      <c r="AE100" s="1">
        <v>0</v>
      </c>
      <c r="AF100" s="4" t="s">
        <v>114</v>
      </c>
      <c r="AG100" s="1" t="s">
        <v>60</v>
      </c>
      <c r="AH100" s="1"/>
      <c r="AI100" s="1" t="str">
        <f t="shared" si="21"/>
        <v>Converted/Partially Converted</v>
      </c>
      <c r="AJ100" s="1" t="str">
        <f t="shared" si="22"/>
        <v>Eligible</v>
      </c>
      <c r="AK100" s="1" t="str">
        <f t="shared" si="23"/>
        <v>Y</v>
      </c>
      <c r="AL100" s="5">
        <f>SUMIFS(SO_Mapping!$F:$F,SO_Mapping!$A:$A,$B100)</f>
        <v>44550</v>
      </c>
      <c r="AM100" s="5" t="str">
        <f t="shared" si="24"/>
        <v>N</v>
      </c>
      <c r="AN100" s="5">
        <f t="shared" si="25"/>
        <v>0</v>
      </c>
      <c r="AO100" s="1" t="str">
        <f t="shared" si="26"/>
        <v>Cash eligible</v>
      </c>
      <c r="AP100" s="1" t="str">
        <f t="shared" si="27"/>
        <v>2026-05-20</v>
      </c>
      <c r="AQ100" s="1"/>
    </row>
    <row r="101" spans="1:43" ht="42">
      <c r="A101" s="1">
        <v>100</v>
      </c>
      <c r="B101" s="1" t="s">
        <v>345</v>
      </c>
      <c r="C101" s="1" t="s">
        <v>243</v>
      </c>
      <c r="D101" s="1" t="s">
        <v>209</v>
      </c>
      <c r="E101" s="1" t="s">
        <v>126</v>
      </c>
      <c r="F101" s="1" t="s">
        <v>69</v>
      </c>
      <c r="G101" s="1" t="s">
        <v>97</v>
      </c>
      <c r="H101" s="1" t="s">
        <v>49</v>
      </c>
      <c r="I101" s="1" t="s">
        <v>50</v>
      </c>
      <c r="J101" s="4" t="s">
        <v>149</v>
      </c>
      <c r="K101" s="5">
        <v>15000</v>
      </c>
      <c r="L101" s="6">
        <v>0.5</v>
      </c>
      <c r="M101" s="5">
        <v>7500</v>
      </c>
      <c r="N101" s="1" t="s">
        <v>346</v>
      </c>
      <c r="O101" s="5">
        <v>14295.51</v>
      </c>
      <c r="P101" s="5"/>
      <c r="Q101" s="5">
        <v>704</v>
      </c>
      <c r="R101" s="1" t="s">
        <v>347</v>
      </c>
      <c r="S101" s="1" t="s">
        <v>54</v>
      </c>
      <c r="T101" s="1"/>
      <c r="U101" s="1"/>
      <c r="V101" s="1"/>
      <c r="W101" s="1" t="s">
        <v>56</v>
      </c>
      <c r="X101" s="4" t="s">
        <v>149</v>
      </c>
      <c r="Y101" s="4" t="s">
        <v>152</v>
      </c>
      <c r="Z101" s="6">
        <v>0</v>
      </c>
      <c r="AA101" s="4"/>
      <c r="AB101" s="4" t="s">
        <v>152</v>
      </c>
      <c r="AC101" s="1" t="s">
        <v>58</v>
      </c>
      <c r="AD101" s="1">
        <v>14295.51</v>
      </c>
      <c r="AE101" s="1">
        <v>704.49</v>
      </c>
      <c r="AF101" s="4" t="s">
        <v>59</v>
      </c>
      <c r="AG101" s="1" t="s">
        <v>60</v>
      </c>
      <c r="AH101" s="1"/>
      <c r="AI101" s="1" t="str">
        <f t="shared" si="21"/>
        <v>Converted/Partially Converted</v>
      </c>
      <c r="AJ101" s="1" t="str">
        <f t="shared" si="22"/>
        <v>Not Eligible - SO Mapping Review</v>
      </c>
      <c r="AK101" s="1" t="str">
        <f t="shared" si="23"/>
        <v>N</v>
      </c>
      <c r="AL101" s="5">
        <f>SUMIFS(SO_Mapping!$F:$F,SO_Mapping!$A:$A,$B101)</f>
        <v>0</v>
      </c>
      <c r="AM101" s="5" t="str">
        <f t="shared" si="24"/>
        <v>Y</v>
      </c>
      <c r="AN101" s="5">
        <f t="shared" si="25"/>
        <v>15000</v>
      </c>
      <c r="AO101" s="1" t="str">
        <f t="shared" si="26"/>
        <v>SO mapping must be resolved</v>
      </c>
      <c r="AP101" s="1" t="str">
        <f t="shared" si="27"/>
        <v/>
      </c>
      <c r="AQ101" s="1"/>
    </row>
    <row r="102" spans="1:43" ht="42">
      <c r="A102" s="1">
        <v>101</v>
      </c>
      <c r="B102" s="1" t="s">
        <v>348</v>
      </c>
      <c r="C102" s="1" t="s">
        <v>349</v>
      </c>
      <c r="D102" s="1" t="s">
        <v>350</v>
      </c>
      <c r="E102" s="1" t="s">
        <v>106</v>
      </c>
      <c r="F102" s="1" t="s">
        <v>47</v>
      </c>
      <c r="G102" s="1" t="s">
        <v>108</v>
      </c>
      <c r="H102" s="1" t="s">
        <v>81</v>
      </c>
      <c r="I102" s="1" t="s">
        <v>50</v>
      </c>
      <c r="J102" s="4"/>
      <c r="K102" s="5">
        <v>10000</v>
      </c>
      <c r="L102" s="6">
        <v>0.25</v>
      </c>
      <c r="M102" s="5">
        <v>2500</v>
      </c>
      <c r="N102" s="1"/>
      <c r="O102" s="5"/>
      <c r="P102" s="5"/>
      <c r="Q102" s="5">
        <v>10000</v>
      </c>
      <c r="R102" s="1" t="s">
        <v>82</v>
      </c>
      <c r="S102" s="1" t="s">
        <v>81</v>
      </c>
      <c r="T102" s="1"/>
      <c r="U102" s="1"/>
      <c r="V102" s="1"/>
      <c r="W102" s="1" t="s">
        <v>56</v>
      </c>
      <c r="X102" s="4"/>
      <c r="Y102" s="4"/>
      <c r="Z102" s="6">
        <v>0</v>
      </c>
      <c r="AA102" s="4"/>
      <c r="AB102" s="4"/>
      <c r="AC102" s="1" t="s">
        <v>83</v>
      </c>
      <c r="AD102" s="1">
        <v>0</v>
      </c>
      <c r="AE102" s="1">
        <v>10000</v>
      </c>
      <c r="AF102" s="4" t="s">
        <v>84</v>
      </c>
      <c r="AG102" s="1" t="s">
        <v>60</v>
      </c>
      <c r="AH102" s="1"/>
      <c r="AI102" s="1" t="str">
        <f t="shared" si="21"/>
        <v>Watchlist</v>
      </c>
      <c r="AJ102" s="1" t="str">
        <f t="shared" si="22"/>
        <v>Scenario Only - No Close Date</v>
      </c>
      <c r="AK102" s="1" t="str">
        <f t="shared" si="23"/>
        <v>N</v>
      </c>
      <c r="AL102" s="5">
        <f>SUMIFS(SO_Mapping!$F:$F,SO_Mapping!$A:$A,$B102)</f>
        <v>0</v>
      </c>
      <c r="AM102" s="5" t="str">
        <f t="shared" si="24"/>
        <v>N</v>
      </c>
      <c r="AN102" s="5">
        <f t="shared" si="25"/>
        <v>10000</v>
      </c>
      <c r="AO102" s="1" t="str">
        <f t="shared" si="26"/>
        <v>No expected close date</v>
      </c>
      <c r="AP102" s="1" t="str">
        <f t="shared" si="27"/>
        <v/>
      </c>
      <c r="AQ102" s="1"/>
    </row>
    <row r="103" spans="1:43" ht="42">
      <c r="A103" s="1">
        <v>102</v>
      </c>
      <c r="B103" s="1" t="s">
        <v>351</v>
      </c>
      <c r="C103" s="1" t="s">
        <v>352</v>
      </c>
      <c r="D103" s="1" t="s">
        <v>350</v>
      </c>
      <c r="E103" s="1" t="s">
        <v>106</v>
      </c>
      <c r="F103" s="1" t="s">
        <v>47</v>
      </c>
      <c r="G103" s="1" t="s">
        <v>108</v>
      </c>
      <c r="H103" s="1" t="s">
        <v>81</v>
      </c>
      <c r="I103" s="1" t="s">
        <v>50</v>
      </c>
      <c r="J103" s="4"/>
      <c r="K103" s="5">
        <v>10000</v>
      </c>
      <c r="L103" s="6">
        <v>0.25</v>
      </c>
      <c r="M103" s="5">
        <v>2500</v>
      </c>
      <c r="N103" s="1"/>
      <c r="O103" s="5"/>
      <c r="P103" s="5"/>
      <c r="Q103" s="5">
        <v>10000</v>
      </c>
      <c r="R103" s="1" t="s">
        <v>82</v>
      </c>
      <c r="S103" s="1" t="s">
        <v>81</v>
      </c>
      <c r="T103" s="1"/>
      <c r="U103" s="1"/>
      <c r="V103" s="1"/>
      <c r="W103" s="1" t="s">
        <v>56</v>
      </c>
      <c r="X103" s="4"/>
      <c r="Y103" s="4"/>
      <c r="Z103" s="6">
        <v>0</v>
      </c>
      <c r="AA103" s="4"/>
      <c r="AB103" s="4"/>
      <c r="AC103" s="1" t="s">
        <v>83</v>
      </c>
      <c r="AD103" s="1">
        <v>0</v>
      </c>
      <c r="AE103" s="1">
        <v>10000</v>
      </c>
      <c r="AF103" s="4" t="s">
        <v>84</v>
      </c>
      <c r="AG103" s="1" t="s">
        <v>60</v>
      </c>
      <c r="AH103" s="1"/>
      <c r="AI103" s="1" t="str">
        <f t="shared" si="21"/>
        <v>Watchlist</v>
      </c>
      <c r="AJ103" s="1" t="str">
        <f t="shared" si="22"/>
        <v>Scenario Only - No Close Date</v>
      </c>
      <c r="AK103" s="1" t="str">
        <f t="shared" si="23"/>
        <v>N</v>
      </c>
      <c r="AL103" s="5">
        <f>SUMIFS(SO_Mapping!$F:$F,SO_Mapping!$A:$A,$B103)</f>
        <v>0</v>
      </c>
      <c r="AM103" s="5" t="str">
        <f t="shared" si="24"/>
        <v>N</v>
      </c>
      <c r="AN103" s="5">
        <f t="shared" si="25"/>
        <v>10000</v>
      </c>
      <c r="AO103" s="1" t="str">
        <f t="shared" si="26"/>
        <v>No expected close date</v>
      </c>
      <c r="AP103" s="1" t="str">
        <f t="shared" si="27"/>
        <v/>
      </c>
      <c r="AQ103" s="1"/>
    </row>
    <row r="104" spans="1:43" ht="42">
      <c r="A104" s="1">
        <v>103</v>
      </c>
      <c r="B104" s="1" t="s">
        <v>353</v>
      </c>
      <c r="C104" s="1" t="s">
        <v>354</v>
      </c>
      <c r="D104" s="1" t="s">
        <v>350</v>
      </c>
      <c r="E104" s="1" t="s">
        <v>106</v>
      </c>
      <c r="F104" s="1" t="s">
        <v>47</v>
      </c>
      <c r="G104" s="1" t="s">
        <v>108</v>
      </c>
      <c r="H104" s="1" t="s">
        <v>81</v>
      </c>
      <c r="I104" s="1" t="s">
        <v>50</v>
      </c>
      <c r="J104" s="4"/>
      <c r="K104" s="5">
        <v>10000</v>
      </c>
      <c r="L104" s="6">
        <v>0.25</v>
      </c>
      <c r="M104" s="5">
        <v>2500</v>
      </c>
      <c r="N104" s="1"/>
      <c r="O104" s="5"/>
      <c r="P104" s="5"/>
      <c r="Q104" s="5">
        <v>10000</v>
      </c>
      <c r="R104" s="1" t="s">
        <v>82</v>
      </c>
      <c r="S104" s="1" t="s">
        <v>81</v>
      </c>
      <c r="T104" s="1"/>
      <c r="U104" s="1"/>
      <c r="V104" s="1"/>
      <c r="W104" s="1" t="s">
        <v>56</v>
      </c>
      <c r="X104" s="4"/>
      <c r="Y104" s="4"/>
      <c r="Z104" s="6">
        <v>0</v>
      </c>
      <c r="AA104" s="4"/>
      <c r="AB104" s="4"/>
      <c r="AC104" s="1" t="s">
        <v>83</v>
      </c>
      <c r="AD104" s="1">
        <v>0</v>
      </c>
      <c r="AE104" s="1">
        <v>10000</v>
      </c>
      <c r="AF104" s="4" t="s">
        <v>84</v>
      </c>
      <c r="AG104" s="1" t="s">
        <v>60</v>
      </c>
      <c r="AH104" s="1"/>
      <c r="AI104" s="1" t="str">
        <f t="shared" si="21"/>
        <v>Watchlist</v>
      </c>
      <c r="AJ104" s="1" t="str">
        <f t="shared" si="22"/>
        <v>Scenario Only - No Close Date</v>
      </c>
      <c r="AK104" s="1" t="str">
        <f t="shared" si="23"/>
        <v>N</v>
      </c>
      <c r="AL104" s="5">
        <f>SUMIFS(SO_Mapping!$F:$F,SO_Mapping!$A:$A,$B104)</f>
        <v>0</v>
      </c>
      <c r="AM104" s="5" t="str">
        <f t="shared" si="24"/>
        <v>N</v>
      </c>
      <c r="AN104" s="5">
        <f t="shared" si="25"/>
        <v>10000</v>
      </c>
      <c r="AO104" s="1" t="str">
        <f t="shared" si="26"/>
        <v>No expected close date</v>
      </c>
      <c r="AP104" s="1" t="str">
        <f t="shared" si="27"/>
        <v/>
      </c>
      <c r="AQ104" s="1"/>
    </row>
    <row r="105" spans="1:43" ht="42">
      <c r="A105" s="1">
        <v>104</v>
      </c>
      <c r="B105" s="1" t="s">
        <v>355</v>
      </c>
      <c r="C105" s="1" t="s">
        <v>356</v>
      </c>
      <c r="D105" s="1" t="s">
        <v>350</v>
      </c>
      <c r="E105" s="1" t="s">
        <v>106</v>
      </c>
      <c r="F105" s="1" t="s">
        <v>47</v>
      </c>
      <c r="G105" s="1" t="s">
        <v>108</v>
      </c>
      <c r="H105" s="1" t="s">
        <v>81</v>
      </c>
      <c r="I105" s="1" t="s">
        <v>50</v>
      </c>
      <c r="J105" s="4"/>
      <c r="K105" s="5">
        <v>10000</v>
      </c>
      <c r="L105" s="6">
        <v>0.25</v>
      </c>
      <c r="M105" s="5">
        <v>2500</v>
      </c>
      <c r="N105" s="1"/>
      <c r="O105" s="5"/>
      <c r="P105" s="5"/>
      <c r="Q105" s="5">
        <v>10000</v>
      </c>
      <c r="R105" s="1" t="s">
        <v>82</v>
      </c>
      <c r="S105" s="1" t="s">
        <v>81</v>
      </c>
      <c r="T105" s="1"/>
      <c r="U105" s="1"/>
      <c r="V105" s="1"/>
      <c r="W105" s="1" t="s">
        <v>56</v>
      </c>
      <c r="X105" s="4"/>
      <c r="Y105" s="4"/>
      <c r="Z105" s="6">
        <v>0</v>
      </c>
      <c r="AA105" s="4"/>
      <c r="AB105" s="4"/>
      <c r="AC105" s="1" t="s">
        <v>83</v>
      </c>
      <c r="AD105" s="1">
        <v>0</v>
      </c>
      <c r="AE105" s="1">
        <v>10000</v>
      </c>
      <c r="AF105" s="4" t="s">
        <v>84</v>
      </c>
      <c r="AG105" s="1" t="s">
        <v>60</v>
      </c>
      <c r="AH105" s="1"/>
      <c r="AI105" s="1" t="str">
        <f t="shared" si="21"/>
        <v>Watchlist</v>
      </c>
      <c r="AJ105" s="1" t="str">
        <f t="shared" si="22"/>
        <v>Scenario Only - No Close Date</v>
      </c>
      <c r="AK105" s="1" t="str">
        <f t="shared" si="23"/>
        <v>N</v>
      </c>
      <c r="AL105" s="5">
        <f>SUMIFS(SO_Mapping!$F:$F,SO_Mapping!$A:$A,$B105)</f>
        <v>0</v>
      </c>
      <c r="AM105" s="5" t="str">
        <f t="shared" si="24"/>
        <v>N</v>
      </c>
      <c r="AN105" s="5">
        <f t="shared" si="25"/>
        <v>10000</v>
      </c>
      <c r="AO105" s="1" t="str">
        <f t="shared" si="26"/>
        <v>No expected close date</v>
      </c>
      <c r="AP105" s="1" t="str">
        <f t="shared" si="27"/>
        <v/>
      </c>
      <c r="AQ105" s="1"/>
    </row>
    <row r="106" spans="1:43" ht="42">
      <c r="A106" s="1">
        <v>105</v>
      </c>
      <c r="B106" s="1" t="s">
        <v>357</v>
      </c>
      <c r="C106" s="1" t="s">
        <v>358</v>
      </c>
      <c r="D106" s="1" t="s">
        <v>359</v>
      </c>
      <c r="E106" s="1" t="s">
        <v>106</v>
      </c>
      <c r="F106" s="1" t="s">
        <v>63</v>
      </c>
      <c r="G106" s="1" t="s">
        <v>108</v>
      </c>
      <c r="H106" s="1" t="s">
        <v>81</v>
      </c>
      <c r="I106" s="1" t="s">
        <v>50</v>
      </c>
      <c r="J106" s="4"/>
      <c r="K106" s="5">
        <v>10000</v>
      </c>
      <c r="L106" s="6">
        <v>0.25</v>
      </c>
      <c r="M106" s="5">
        <v>2500</v>
      </c>
      <c r="N106" s="1"/>
      <c r="O106" s="5"/>
      <c r="P106" s="5"/>
      <c r="Q106" s="5">
        <v>10000</v>
      </c>
      <c r="R106" s="1" t="s">
        <v>82</v>
      </c>
      <c r="S106" s="1" t="s">
        <v>81</v>
      </c>
      <c r="T106" s="1"/>
      <c r="U106" s="1"/>
      <c r="V106" s="1"/>
      <c r="W106" s="1" t="s">
        <v>56</v>
      </c>
      <c r="X106" s="4"/>
      <c r="Y106" s="4"/>
      <c r="Z106" s="6">
        <v>0</v>
      </c>
      <c r="AA106" s="4"/>
      <c r="AB106" s="4"/>
      <c r="AC106" s="1" t="s">
        <v>83</v>
      </c>
      <c r="AD106" s="1">
        <v>0</v>
      </c>
      <c r="AE106" s="1">
        <v>10000</v>
      </c>
      <c r="AF106" s="4" t="s">
        <v>84</v>
      </c>
      <c r="AG106" s="1" t="s">
        <v>60</v>
      </c>
      <c r="AH106" s="1"/>
      <c r="AI106" s="1" t="str">
        <f t="shared" si="21"/>
        <v>Watchlist</v>
      </c>
      <c r="AJ106" s="1" t="str">
        <f t="shared" si="22"/>
        <v>Scenario Only - No Close Date</v>
      </c>
      <c r="AK106" s="1" t="str">
        <f t="shared" si="23"/>
        <v>N</v>
      </c>
      <c r="AL106" s="5">
        <f>SUMIFS(SO_Mapping!$F:$F,SO_Mapping!$A:$A,$B106)</f>
        <v>0</v>
      </c>
      <c r="AM106" s="5" t="str">
        <f t="shared" si="24"/>
        <v>N</v>
      </c>
      <c r="AN106" s="5">
        <f t="shared" si="25"/>
        <v>10000</v>
      </c>
      <c r="AO106" s="1" t="str">
        <f t="shared" si="26"/>
        <v>No expected close date</v>
      </c>
      <c r="AP106" s="1" t="str">
        <f t="shared" si="27"/>
        <v/>
      </c>
      <c r="AQ106" s="1"/>
    </row>
    <row r="107" spans="1:43" ht="42">
      <c r="A107" s="1">
        <v>106</v>
      </c>
      <c r="B107" s="1" t="s">
        <v>360</v>
      </c>
      <c r="C107" s="1" t="s">
        <v>361</v>
      </c>
      <c r="D107" s="1" t="s">
        <v>359</v>
      </c>
      <c r="E107" s="1" t="s">
        <v>106</v>
      </c>
      <c r="F107" s="1" t="s">
        <v>63</v>
      </c>
      <c r="G107" s="1" t="s">
        <v>108</v>
      </c>
      <c r="H107" s="1" t="s">
        <v>81</v>
      </c>
      <c r="I107" s="1" t="s">
        <v>50</v>
      </c>
      <c r="J107" s="4"/>
      <c r="K107" s="5">
        <v>10000</v>
      </c>
      <c r="L107" s="6">
        <v>0.25</v>
      </c>
      <c r="M107" s="5">
        <v>2500</v>
      </c>
      <c r="N107" s="1"/>
      <c r="O107" s="5"/>
      <c r="P107" s="5"/>
      <c r="Q107" s="5">
        <v>10000</v>
      </c>
      <c r="R107" s="1" t="s">
        <v>82</v>
      </c>
      <c r="S107" s="1" t="s">
        <v>81</v>
      </c>
      <c r="T107" s="1"/>
      <c r="U107" s="1"/>
      <c r="V107" s="1"/>
      <c r="W107" s="1" t="s">
        <v>56</v>
      </c>
      <c r="X107" s="4"/>
      <c r="Y107" s="4"/>
      <c r="Z107" s="6">
        <v>0</v>
      </c>
      <c r="AA107" s="4"/>
      <c r="AB107" s="4"/>
      <c r="AC107" s="1" t="s">
        <v>83</v>
      </c>
      <c r="AD107" s="1">
        <v>0</v>
      </c>
      <c r="AE107" s="1">
        <v>10000</v>
      </c>
      <c r="AF107" s="4" t="s">
        <v>84</v>
      </c>
      <c r="AG107" s="1" t="s">
        <v>60</v>
      </c>
      <c r="AH107" s="1"/>
      <c r="AI107" s="1" t="str">
        <f t="shared" si="21"/>
        <v>Watchlist</v>
      </c>
      <c r="AJ107" s="1" t="str">
        <f t="shared" si="22"/>
        <v>Scenario Only - No Close Date</v>
      </c>
      <c r="AK107" s="1" t="str">
        <f t="shared" si="23"/>
        <v>N</v>
      </c>
      <c r="AL107" s="5">
        <f>SUMIFS(SO_Mapping!$F:$F,SO_Mapping!$A:$A,$B107)</f>
        <v>0</v>
      </c>
      <c r="AM107" s="5" t="str">
        <f t="shared" si="24"/>
        <v>N</v>
      </c>
      <c r="AN107" s="5">
        <f t="shared" si="25"/>
        <v>10000</v>
      </c>
      <c r="AO107" s="1" t="str">
        <f t="shared" si="26"/>
        <v>No expected close date</v>
      </c>
      <c r="AP107" s="1" t="str">
        <f t="shared" si="27"/>
        <v/>
      </c>
      <c r="AQ107" s="1"/>
    </row>
    <row r="108" spans="1:43" ht="42">
      <c r="A108" s="1">
        <v>3</v>
      </c>
      <c r="B108" s="1" t="s">
        <v>362</v>
      </c>
      <c r="C108" s="1" t="s">
        <v>363</v>
      </c>
      <c r="D108" s="1" t="s">
        <v>364</v>
      </c>
      <c r="E108" s="1" t="s">
        <v>118</v>
      </c>
      <c r="F108" s="1" t="s">
        <v>47</v>
      </c>
      <c r="G108" s="1" t="s">
        <v>97</v>
      </c>
      <c r="H108" s="1" t="s">
        <v>81</v>
      </c>
      <c r="I108" s="1" t="s">
        <v>50</v>
      </c>
      <c r="J108" s="4" t="s">
        <v>164</v>
      </c>
      <c r="K108" s="5">
        <v>2000000</v>
      </c>
      <c r="L108" s="6">
        <v>0</v>
      </c>
      <c r="M108" s="5"/>
      <c r="N108" s="1"/>
      <c r="O108" s="5"/>
      <c r="P108" s="5"/>
      <c r="Q108" s="5">
        <v>2000000</v>
      </c>
      <c r="R108" s="1" t="s">
        <v>82</v>
      </c>
      <c r="S108" s="1" t="s">
        <v>81</v>
      </c>
      <c r="T108" s="1" t="s">
        <v>365</v>
      </c>
      <c r="U108" s="1"/>
      <c r="V108" s="1"/>
      <c r="W108" s="1" t="s">
        <v>56</v>
      </c>
      <c r="X108" s="4" t="s">
        <v>164</v>
      </c>
      <c r="Y108" s="4" t="s">
        <v>167</v>
      </c>
      <c r="Z108" s="6">
        <v>0</v>
      </c>
      <c r="AA108" s="4"/>
      <c r="AB108" s="4" t="s">
        <v>167</v>
      </c>
      <c r="AC108" s="1" t="s">
        <v>83</v>
      </c>
      <c r="AD108" s="1">
        <v>0</v>
      </c>
      <c r="AE108" s="1">
        <v>2000000</v>
      </c>
      <c r="AF108" s="4" t="s">
        <v>366</v>
      </c>
      <c r="AG108" s="1" t="s">
        <v>60</v>
      </c>
      <c r="AH108" s="1"/>
      <c r="AI108" s="1" t="str">
        <f t="shared" si="21"/>
        <v>Active</v>
      </c>
      <c r="AJ108" s="1" t="str">
        <f t="shared" si="22"/>
        <v>Eligible</v>
      </c>
      <c r="AK108" s="1" t="str">
        <f t="shared" si="23"/>
        <v>Y</v>
      </c>
      <c r="AL108" s="5">
        <f>SUMIFS(SO_Mapping!$F:$F,SO_Mapping!$A:$A,$B108)</f>
        <v>0</v>
      </c>
      <c r="AM108" s="5" t="str">
        <f t="shared" si="24"/>
        <v>N</v>
      </c>
      <c r="AN108" s="5">
        <f t="shared" si="25"/>
        <v>2000000</v>
      </c>
      <c r="AO108" s="1" t="str">
        <f t="shared" si="26"/>
        <v>Cash eligible</v>
      </c>
      <c r="AP108" s="1" t="str">
        <f t="shared" si="27"/>
        <v>2026-01-31</v>
      </c>
      <c r="AQ108" s="1"/>
    </row>
    <row r="109" spans="1:43" ht="42">
      <c r="A109" s="1">
        <v>8</v>
      </c>
      <c r="B109" s="1" t="s">
        <v>367</v>
      </c>
      <c r="C109" s="1" t="s">
        <v>363</v>
      </c>
      <c r="D109" s="1" t="s">
        <v>364</v>
      </c>
      <c r="E109" s="1" t="s">
        <v>118</v>
      </c>
      <c r="F109" s="1" t="s">
        <v>63</v>
      </c>
      <c r="G109" s="1" t="s">
        <v>97</v>
      </c>
      <c r="H109" s="1" t="s">
        <v>81</v>
      </c>
      <c r="I109" s="1" t="s">
        <v>50</v>
      </c>
      <c r="J109" s="4" t="s">
        <v>164</v>
      </c>
      <c r="K109" s="5">
        <v>1000000</v>
      </c>
      <c r="L109" s="6">
        <v>0</v>
      </c>
      <c r="M109" s="5"/>
      <c r="N109" s="1"/>
      <c r="O109" s="5"/>
      <c r="P109" s="5"/>
      <c r="Q109" s="5">
        <v>1000000</v>
      </c>
      <c r="R109" s="1" t="s">
        <v>82</v>
      </c>
      <c r="S109" s="1" t="s">
        <v>81</v>
      </c>
      <c r="T109" s="1" t="s">
        <v>365</v>
      </c>
      <c r="U109" s="1"/>
      <c r="V109" s="1"/>
      <c r="W109" s="1" t="s">
        <v>56</v>
      </c>
      <c r="X109" s="4" t="s">
        <v>164</v>
      </c>
      <c r="Y109" s="4" t="s">
        <v>167</v>
      </c>
      <c r="Z109" s="6">
        <v>0</v>
      </c>
      <c r="AA109" s="4"/>
      <c r="AB109" s="4" t="s">
        <v>167</v>
      </c>
      <c r="AC109" s="1" t="s">
        <v>83</v>
      </c>
      <c r="AD109" s="1">
        <v>0</v>
      </c>
      <c r="AE109" s="1">
        <v>1000000</v>
      </c>
      <c r="AF109" s="4" t="s">
        <v>366</v>
      </c>
      <c r="AG109" s="1" t="s">
        <v>60</v>
      </c>
      <c r="AH109" s="1"/>
      <c r="AI109" s="1" t="str">
        <f t="shared" si="21"/>
        <v>Active</v>
      </c>
      <c r="AJ109" s="1" t="str">
        <f t="shared" si="22"/>
        <v>Eligible</v>
      </c>
      <c r="AK109" s="1" t="str">
        <f t="shared" si="23"/>
        <v>Y</v>
      </c>
      <c r="AL109" s="5">
        <f>SUMIFS(SO_Mapping!$F:$F,SO_Mapping!$A:$A,$B109)</f>
        <v>0</v>
      </c>
      <c r="AM109" s="5" t="str">
        <f t="shared" si="24"/>
        <v>N</v>
      </c>
      <c r="AN109" s="5">
        <f t="shared" si="25"/>
        <v>1000000</v>
      </c>
      <c r="AO109" s="1" t="str">
        <f t="shared" si="26"/>
        <v>Cash eligible</v>
      </c>
      <c r="AP109" s="1" t="str">
        <f t="shared" si="27"/>
        <v>2026-01-31</v>
      </c>
      <c r="AQ109" s="1"/>
    </row>
    <row r="110" spans="1:43" ht="42">
      <c r="A110" s="1">
        <v>21</v>
      </c>
      <c r="B110" s="1" t="s">
        <v>368</v>
      </c>
      <c r="C110" s="1" t="s">
        <v>369</v>
      </c>
      <c r="D110" s="1" t="s">
        <v>370</v>
      </c>
      <c r="E110" s="1" t="s">
        <v>118</v>
      </c>
      <c r="F110" s="1" t="s">
        <v>47</v>
      </c>
      <c r="G110" s="1" t="s">
        <v>108</v>
      </c>
      <c r="H110" s="1" t="s">
        <v>81</v>
      </c>
      <c r="I110" s="1" t="s">
        <v>50</v>
      </c>
      <c r="J110" s="4"/>
      <c r="K110" s="5">
        <v>500000</v>
      </c>
      <c r="L110" s="6">
        <v>0</v>
      </c>
      <c r="M110" s="5"/>
      <c r="N110" s="1"/>
      <c r="O110" s="5"/>
      <c r="P110" s="5"/>
      <c r="Q110" s="5">
        <v>500000</v>
      </c>
      <c r="R110" s="1" t="s">
        <v>82</v>
      </c>
      <c r="S110" s="1" t="s">
        <v>81</v>
      </c>
      <c r="T110" s="1"/>
      <c r="U110" s="1"/>
      <c r="V110" s="1"/>
      <c r="W110" s="1" t="s">
        <v>56</v>
      </c>
      <c r="X110" s="4"/>
      <c r="Y110" s="4"/>
      <c r="Z110" s="6">
        <v>0</v>
      </c>
      <c r="AA110" s="4"/>
      <c r="AB110" s="4"/>
      <c r="AC110" s="1" t="s">
        <v>83</v>
      </c>
      <c r="AD110" s="1">
        <v>0</v>
      </c>
      <c r="AE110" s="1">
        <v>500000</v>
      </c>
      <c r="AF110" s="4" t="s">
        <v>84</v>
      </c>
      <c r="AG110" s="1" t="s">
        <v>60</v>
      </c>
      <c r="AH110" s="1"/>
      <c r="AI110" s="1" t="str">
        <f t="shared" si="21"/>
        <v>Watchlist</v>
      </c>
      <c r="AJ110" s="1" t="str">
        <f t="shared" si="22"/>
        <v>Scenario Only - No Close Date</v>
      </c>
      <c r="AK110" s="1" t="str">
        <f t="shared" si="23"/>
        <v>N</v>
      </c>
      <c r="AL110" s="5">
        <f>SUMIFS(SO_Mapping!$F:$F,SO_Mapping!$A:$A,$B110)</f>
        <v>0</v>
      </c>
      <c r="AM110" s="5" t="str">
        <f t="shared" si="24"/>
        <v>N</v>
      </c>
      <c r="AN110" s="5">
        <f t="shared" si="25"/>
        <v>500000</v>
      </c>
      <c r="AO110" s="1" t="str">
        <f t="shared" si="26"/>
        <v>No expected close date</v>
      </c>
      <c r="AP110" s="1" t="str">
        <f t="shared" si="27"/>
        <v/>
      </c>
      <c r="AQ110" s="1"/>
    </row>
    <row r="111" spans="1:43" ht="56">
      <c r="A111" s="1">
        <v>112</v>
      </c>
      <c r="B111" s="1" t="s">
        <v>371</v>
      </c>
      <c r="C111" s="1"/>
      <c r="D111" s="1"/>
      <c r="E111" s="1"/>
      <c r="F111" s="1"/>
      <c r="G111" s="1"/>
      <c r="H111" s="1" t="s">
        <v>81</v>
      </c>
      <c r="I111" s="1" t="s">
        <v>50</v>
      </c>
      <c r="J111" s="4"/>
      <c r="K111" s="5"/>
      <c r="L111" s="6">
        <v>0</v>
      </c>
      <c r="M111" s="5"/>
      <c r="N111" s="1"/>
      <c r="O111" s="5"/>
      <c r="P111" s="5"/>
      <c r="Q111" s="5"/>
      <c r="R111" s="1" t="s">
        <v>82</v>
      </c>
      <c r="S111" s="1" t="s">
        <v>101</v>
      </c>
      <c r="T111" s="1"/>
      <c r="U111" s="1"/>
      <c r="V111" s="1"/>
      <c r="W111" s="1" t="s">
        <v>372</v>
      </c>
      <c r="X111" s="4"/>
      <c r="Y111" s="4"/>
      <c r="Z111" s="6">
        <v>0</v>
      </c>
      <c r="AA111" s="4"/>
      <c r="AB111" s="4"/>
      <c r="AC111" s="1" t="s">
        <v>373</v>
      </c>
      <c r="AD111" s="1">
        <v>0</v>
      </c>
      <c r="AE111" s="1">
        <v>0</v>
      </c>
      <c r="AF111" s="4" t="s">
        <v>114</v>
      </c>
      <c r="AG111" s="1" t="s">
        <v>60</v>
      </c>
      <c r="AH111" s="1"/>
      <c r="AI111" s="1" t="str">
        <f t="shared" si="21"/>
        <v>Watchlist</v>
      </c>
      <c r="AJ111" s="1" t="str">
        <f t="shared" si="22"/>
        <v>Scenario Only - No Close Date</v>
      </c>
      <c r="AK111" s="1" t="str">
        <f t="shared" si="23"/>
        <v>N</v>
      </c>
      <c r="AL111" s="5">
        <f>SUMIFS(SO_Mapping!$F:$F,SO_Mapping!$A:$A,$B111)</f>
        <v>0</v>
      </c>
      <c r="AM111" s="5" t="str">
        <f t="shared" si="24"/>
        <v>N</v>
      </c>
      <c r="AN111" s="5">
        <f t="shared" si="25"/>
        <v>0</v>
      </c>
      <c r="AO111" s="1" t="str">
        <f t="shared" si="26"/>
        <v>No expected close date</v>
      </c>
      <c r="AP111" s="1" t="str">
        <f t="shared" si="27"/>
        <v/>
      </c>
      <c r="AQ111" s="1"/>
    </row>
  </sheetData>
  <conditionalFormatting sqref="AJ2:AJ111">
    <cfRule type="expression" dxfId="3" priority="1">
      <formula>LEFT($AJ2,12)="Scenario Only"</formula>
    </cfRule>
  </conditionalFormatting>
  <conditionalFormatting sqref="AK2:AK111">
    <cfRule type="expression" dxfId="2" priority="3">
      <formula>$AK2="Y"</formula>
    </cfRule>
  </conditionalFormatting>
  <conditionalFormatting sqref="AM2:AM111">
    <cfRule type="expression" dxfId="1" priority="2">
      <formula>$AM2="Y"</formula>
    </cfRule>
  </conditionalFormatting>
  <dataValidations count="1">
    <dataValidation type="list" sqref="I2:I111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1000000}">
          <x14:formula1>
            <xm:f>Lookups!$A$2:$A$6</xm:f>
          </x14:formula1>
          <xm:sqref>H2:H111</xm:sqref>
        </x14:dataValidation>
        <x14:dataValidation type="list" xr:uid="{00000000-0002-0000-0000-000002000000}">
          <x14:formula1>
            <xm:f>Lookups!$C$2:$C$6</xm:f>
          </x14:formula1>
          <xm:sqref>AI2:AI111</xm:sqref>
        </x14:dataValidation>
        <x14:dataValidation type="list" xr:uid="{00000000-0002-0000-0000-000003000000}">
          <x14:formula1>
            <xm:f>Lookups!$D$2:$D$8</xm:f>
          </x14:formula1>
          <xm:sqref>AJ2:AJ111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workbookViewId="0"/>
  </sheetViews>
  <sheetFormatPr defaultRowHeight="14"/>
  <cols>
    <col min="1" max="2" width="12" customWidth="1"/>
    <col min="3" max="3" width="22" customWidth="1"/>
    <col min="4" max="4" width="16" customWidth="1"/>
    <col min="5" max="5" width="12" customWidth="1"/>
    <col min="6" max="6" width="18" customWidth="1"/>
    <col min="7" max="7" width="20" customWidth="1"/>
    <col min="8" max="8" width="18" customWidth="1"/>
    <col min="9" max="9" width="42" customWidth="1"/>
  </cols>
  <sheetData>
    <row r="1" spans="1:9" ht="28">
      <c r="A1" s="2" t="s">
        <v>1</v>
      </c>
      <c r="B1" s="2" t="s">
        <v>374</v>
      </c>
      <c r="C1" s="2" t="s">
        <v>375</v>
      </c>
      <c r="D1" s="2" t="s">
        <v>376</v>
      </c>
      <c r="E1" s="2" t="s">
        <v>377</v>
      </c>
      <c r="F1" s="2" t="s">
        <v>378</v>
      </c>
      <c r="G1" s="2" t="s">
        <v>379</v>
      </c>
      <c r="H1" s="2" t="s">
        <v>380</v>
      </c>
      <c r="I1" s="2" t="s">
        <v>20</v>
      </c>
    </row>
    <row r="2" spans="1:9" ht="28">
      <c r="A2" s="1" t="s">
        <v>43</v>
      </c>
      <c r="B2" s="1" t="s">
        <v>381</v>
      </c>
      <c r="C2" s="1" t="s">
        <v>382</v>
      </c>
      <c r="D2" s="5"/>
      <c r="E2" s="6"/>
      <c r="F2" s="5">
        <f t="shared" ref="F2:F33" si="0">IF(OR($D2="",$E2=""),0,$D2*$E2)</f>
        <v>0</v>
      </c>
      <c r="G2" s="5">
        <v>2672706</v>
      </c>
      <c r="H2" s="1" t="s">
        <v>50</v>
      </c>
      <c r="I2" s="1" t="s">
        <v>383</v>
      </c>
    </row>
    <row r="3" spans="1:9" ht="28">
      <c r="A3" s="1" t="s">
        <v>43</v>
      </c>
      <c r="B3" s="1" t="s">
        <v>384</v>
      </c>
      <c r="C3" s="1" t="s">
        <v>382</v>
      </c>
      <c r="D3" s="5"/>
      <c r="E3" s="6"/>
      <c r="F3" s="5">
        <f t="shared" si="0"/>
        <v>0</v>
      </c>
      <c r="G3" s="5">
        <v>2672706</v>
      </c>
      <c r="H3" s="1" t="s">
        <v>50</v>
      </c>
      <c r="I3" s="1" t="s">
        <v>383</v>
      </c>
    </row>
    <row r="4" spans="1:9" ht="28">
      <c r="A4" s="1" t="s">
        <v>43</v>
      </c>
      <c r="B4" s="1" t="s">
        <v>385</v>
      </c>
      <c r="C4" s="1" t="s">
        <v>382</v>
      </c>
      <c r="D4" s="5"/>
      <c r="E4" s="6"/>
      <c r="F4" s="5">
        <f t="shared" si="0"/>
        <v>0</v>
      </c>
      <c r="G4" s="5">
        <v>2672706</v>
      </c>
      <c r="H4" s="1" t="s">
        <v>50</v>
      </c>
      <c r="I4" s="1" t="s">
        <v>383</v>
      </c>
    </row>
    <row r="5" spans="1:9" ht="28">
      <c r="A5" s="1" t="s">
        <v>43</v>
      </c>
      <c r="B5" s="1" t="s">
        <v>386</v>
      </c>
      <c r="C5" s="1" t="s">
        <v>382</v>
      </c>
      <c r="D5" s="5"/>
      <c r="E5" s="6"/>
      <c r="F5" s="5">
        <f t="shared" si="0"/>
        <v>0</v>
      </c>
      <c r="G5" s="5">
        <v>2672706</v>
      </c>
      <c r="H5" s="1" t="s">
        <v>50</v>
      </c>
      <c r="I5" s="1" t="s">
        <v>383</v>
      </c>
    </row>
    <row r="6" spans="1:9" ht="28">
      <c r="A6" s="1" t="s">
        <v>43</v>
      </c>
      <c r="B6" s="1" t="s">
        <v>387</v>
      </c>
      <c r="C6" s="1" t="s">
        <v>382</v>
      </c>
      <c r="D6" s="5"/>
      <c r="E6" s="6"/>
      <c r="F6" s="5">
        <f t="shared" si="0"/>
        <v>0</v>
      </c>
      <c r="G6" s="5">
        <v>2672706</v>
      </c>
      <c r="H6" s="1" t="s">
        <v>50</v>
      </c>
      <c r="I6" s="1" t="s">
        <v>383</v>
      </c>
    </row>
    <row r="7" spans="1:9" ht="28">
      <c r="A7" s="1" t="s">
        <v>43</v>
      </c>
      <c r="B7" s="1" t="s">
        <v>388</v>
      </c>
      <c r="C7" s="1" t="s">
        <v>382</v>
      </c>
      <c r="D7" s="5"/>
      <c r="E7" s="6"/>
      <c r="F7" s="5">
        <f t="shared" si="0"/>
        <v>0</v>
      </c>
      <c r="G7" s="5">
        <v>2672706</v>
      </c>
      <c r="H7" s="1" t="s">
        <v>50</v>
      </c>
      <c r="I7" s="1" t="s">
        <v>383</v>
      </c>
    </row>
    <row r="8" spans="1:9" ht="28">
      <c r="A8" s="1" t="s">
        <v>43</v>
      </c>
      <c r="B8" s="1" t="s">
        <v>389</v>
      </c>
      <c r="C8" s="1" t="s">
        <v>382</v>
      </c>
      <c r="D8" s="5"/>
      <c r="E8" s="6"/>
      <c r="F8" s="5">
        <f t="shared" si="0"/>
        <v>0</v>
      </c>
      <c r="G8" s="5">
        <v>2672706</v>
      </c>
      <c r="H8" s="1" t="s">
        <v>50</v>
      </c>
      <c r="I8" s="1" t="s">
        <v>383</v>
      </c>
    </row>
    <row r="9" spans="1:9" ht="28">
      <c r="A9" s="1" t="s">
        <v>43</v>
      </c>
      <c r="B9" s="1" t="s">
        <v>390</v>
      </c>
      <c r="C9" s="1" t="s">
        <v>382</v>
      </c>
      <c r="D9" s="5"/>
      <c r="E9" s="6"/>
      <c r="F9" s="5">
        <f t="shared" si="0"/>
        <v>0</v>
      </c>
      <c r="G9" s="5">
        <v>2672706</v>
      </c>
      <c r="H9" s="1" t="s">
        <v>50</v>
      </c>
      <c r="I9" s="1" t="s">
        <v>383</v>
      </c>
    </row>
    <row r="10" spans="1:9" ht="28">
      <c r="A10" s="1" t="s">
        <v>43</v>
      </c>
      <c r="B10" s="1" t="s">
        <v>391</v>
      </c>
      <c r="C10" s="1" t="s">
        <v>382</v>
      </c>
      <c r="D10" s="5"/>
      <c r="E10" s="6"/>
      <c r="F10" s="5">
        <f t="shared" si="0"/>
        <v>0</v>
      </c>
      <c r="G10" s="5">
        <v>2672706</v>
      </c>
      <c r="H10" s="1" t="s">
        <v>50</v>
      </c>
      <c r="I10" s="1" t="s">
        <v>383</v>
      </c>
    </row>
    <row r="11" spans="1:9" ht="28">
      <c r="A11" s="1" t="s">
        <v>61</v>
      </c>
      <c r="B11" s="1" t="s">
        <v>392</v>
      </c>
      <c r="C11" s="1" t="s">
        <v>382</v>
      </c>
      <c r="D11" s="5"/>
      <c r="E11" s="6"/>
      <c r="F11" s="5">
        <f t="shared" si="0"/>
        <v>0</v>
      </c>
      <c r="G11" s="5">
        <v>290080</v>
      </c>
      <c r="H11" s="1" t="s">
        <v>50</v>
      </c>
      <c r="I11" s="1" t="s">
        <v>383</v>
      </c>
    </row>
    <row r="12" spans="1:9" ht="28">
      <c r="A12" s="1" t="s">
        <v>61</v>
      </c>
      <c r="B12" s="1" t="s">
        <v>393</v>
      </c>
      <c r="C12" s="1" t="s">
        <v>382</v>
      </c>
      <c r="D12" s="5"/>
      <c r="E12" s="6"/>
      <c r="F12" s="5">
        <f t="shared" si="0"/>
        <v>0</v>
      </c>
      <c r="G12" s="5">
        <v>290080</v>
      </c>
      <c r="H12" s="1" t="s">
        <v>50</v>
      </c>
      <c r="I12" s="1" t="s">
        <v>383</v>
      </c>
    </row>
    <row r="13" spans="1:9" ht="28">
      <c r="A13" s="1" t="s">
        <v>68</v>
      </c>
      <c r="B13" s="1" t="s">
        <v>394</v>
      </c>
      <c r="C13" s="1" t="s">
        <v>395</v>
      </c>
      <c r="D13" s="5"/>
      <c r="E13" s="6"/>
      <c r="F13" s="5">
        <f t="shared" si="0"/>
        <v>0</v>
      </c>
      <c r="G13" s="5">
        <v>1114750</v>
      </c>
      <c r="H13" s="1" t="s">
        <v>50</v>
      </c>
      <c r="I13" s="1" t="s">
        <v>383</v>
      </c>
    </row>
    <row r="14" spans="1:9" ht="28">
      <c r="A14" s="1" t="s">
        <v>68</v>
      </c>
      <c r="B14" s="1" t="s">
        <v>396</v>
      </c>
      <c r="C14" s="1" t="s">
        <v>395</v>
      </c>
      <c r="D14" s="5"/>
      <c r="E14" s="6"/>
      <c r="F14" s="5">
        <f t="shared" si="0"/>
        <v>0</v>
      </c>
      <c r="G14" s="5">
        <v>1114750</v>
      </c>
      <c r="H14" s="1" t="s">
        <v>50</v>
      </c>
      <c r="I14" s="1" t="s">
        <v>383</v>
      </c>
    </row>
    <row r="15" spans="1:9" ht="28">
      <c r="A15" s="1" t="s">
        <v>68</v>
      </c>
      <c r="B15" s="1" t="s">
        <v>397</v>
      </c>
      <c r="C15" s="1" t="s">
        <v>395</v>
      </c>
      <c r="D15" s="5"/>
      <c r="E15" s="6"/>
      <c r="F15" s="5">
        <f t="shared" si="0"/>
        <v>0</v>
      </c>
      <c r="G15" s="5">
        <v>1114750</v>
      </c>
      <c r="H15" s="1" t="s">
        <v>50</v>
      </c>
      <c r="I15" s="1" t="s">
        <v>383</v>
      </c>
    </row>
    <row r="16" spans="1:9" ht="28">
      <c r="A16" s="1" t="s">
        <v>68</v>
      </c>
      <c r="B16" s="1" t="s">
        <v>398</v>
      </c>
      <c r="C16" s="1" t="s">
        <v>395</v>
      </c>
      <c r="D16" s="5"/>
      <c r="E16" s="6"/>
      <c r="F16" s="5">
        <f t="shared" si="0"/>
        <v>0</v>
      </c>
      <c r="G16" s="5">
        <v>1114750</v>
      </c>
      <c r="H16" s="1" t="s">
        <v>50</v>
      </c>
      <c r="I16" s="1" t="s">
        <v>383</v>
      </c>
    </row>
    <row r="17" spans="1:9" ht="28">
      <c r="A17" s="1" t="s">
        <v>75</v>
      </c>
      <c r="B17" s="1" t="s">
        <v>399</v>
      </c>
      <c r="C17" s="1" t="s">
        <v>382</v>
      </c>
      <c r="D17" s="5"/>
      <c r="E17" s="6"/>
      <c r="F17" s="5">
        <f t="shared" si="0"/>
        <v>0</v>
      </c>
      <c r="G17" s="5">
        <v>259000</v>
      </c>
      <c r="H17" s="1" t="s">
        <v>50</v>
      </c>
      <c r="I17" s="1" t="s">
        <v>383</v>
      </c>
    </row>
    <row r="18" spans="1:9" ht="28">
      <c r="A18" s="1" t="s">
        <v>75</v>
      </c>
      <c r="B18" s="1" t="s">
        <v>400</v>
      </c>
      <c r="C18" s="1" t="s">
        <v>382</v>
      </c>
      <c r="D18" s="5"/>
      <c r="E18" s="6"/>
      <c r="F18" s="5">
        <f t="shared" si="0"/>
        <v>0</v>
      </c>
      <c r="G18" s="5">
        <v>259000</v>
      </c>
      <c r="H18" s="1" t="s">
        <v>50</v>
      </c>
      <c r="I18" s="1" t="s">
        <v>383</v>
      </c>
    </row>
    <row r="19" spans="1:9" ht="28">
      <c r="A19" s="1" t="s">
        <v>87</v>
      </c>
      <c r="B19" s="1" t="s">
        <v>401</v>
      </c>
      <c r="C19" s="1" t="s">
        <v>395</v>
      </c>
      <c r="D19" s="5"/>
      <c r="E19" s="6"/>
      <c r="F19" s="5">
        <f t="shared" si="0"/>
        <v>0</v>
      </c>
      <c r="G19" s="5">
        <v>65518</v>
      </c>
      <c r="H19" s="1" t="s">
        <v>50</v>
      </c>
      <c r="I19" s="1" t="s">
        <v>383</v>
      </c>
    </row>
    <row r="20" spans="1:9" ht="28">
      <c r="A20" s="1" t="s">
        <v>87</v>
      </c>
      <c r="B20" s="1" t="s">
        <v>402</v>
      </c>
      <c r="C20" s="1" t="s">
        <v>395</v>
      </c>
      <c r="D20" s="5"/>
      <c r="E20" s="6"/>
      <c r="F20" s="5">
        <f t="shared" si="0"/>
        <v>0</v>
      </c>
      <c r="G20" s="5">
        <v>65518</v>
      </c>
      <c r="H20" s="1" t="s">
        <v>50</v>
      </c>
      <c r="I20" s="1" t="s">
        <v>383</v>
      </c>
    </row>
    <row r="21" spans="1:9" ht="28">
      <c r="A21" s="1" t="s">
        <v>87</v>
      </c>
      <c r="B21" s="1" t="s">
        <v>403</v>
      </c>
      <c r="C21" s="1" t="s">
        <v>395</v>
      </c>
      <c r="D21" s="5"/>
      <c r="E21" s="6"/>
      <c r="F21" s="5">
        <f t="shared" si="0"/>
        <v>0</v>
      </c>
      <c r="G21" s="5">
        <v>65518</v>
      </c>
      <c r="H21" s="1" t="s">
        <v>50</v>
      </c>
      <c r="I21" s="1" t="s">
        <v>383</v>
      </c>
    </row>
    <row r="22" spans="1:9" ht="28">
      <c r="A22" s="1" t="s">
        <v>87</v>
      </c>
      <c r="B22" s="1" t="s">
        <v>404</v>
      </c>
      <c r="C22" s="1" t="s">
        <v>395</v>
      </c>
      <c r="D22" s="5"/>
      <c r="E22" s="6"/>
      <c r="F22" s="5">
        <f t="shared" si="0"/>
        <v>0</v>
      </c>
      <c r="G22" s="5">
        <v>65518</v>
      </c>
      <c r="H22" s="1" t="s">
        <v>50</v>
      </c>
      <c r="I22" s="1" t="s">
        <v>383</v>
      </c>
    </row>
    <row r="23" spans="1:9" ht="28">
      <c r="A23" s="1" t="s">
        <v>87</v>
      </c>
      <c r="B23" s="1" t="s">
        <v>405</v>
      </c>
      <c r="C23" s="1" t="s">
        <v>395</v>
      </c>
      <c r="D23" s="5"/>
      <c r="E23" s="6"/>
      <c r="F23" s="5">
        <f t="shared" si="0"/>
        <v>0</v>
      </c>
      <c r="G23" s="5">
        <v>65518</v>
      </c>
      <c r="H23" s="1" t="s">
        <v>50</v>
      </c>
      <c r="I23" s="1" t="s">
        <v>383</v>
      </c>
    </row>
    <row r="24" spans="1:9" ht="28">
      <c r="A24" s="1" t="s">
        <v>87</v>
      </c>
      <c r="B24" s="1" t="s">
        <v>406</v>
      </c>
      <c r="C24" s="1" t="s">
        <v>395</v>
      </c>
      <c r="D24" s="5"/>
      <c r="E24" s="6"/>
      <c r="F24" s="5">
        <f t="shared" si="0"/>
        <v>0</v>
      </c>
      <c r="G24" s="5">
        <v>65518</v>
      </c>
      <c r="H24" s="1" t="s">
        <v>50</v>
      </c>
      <c r="I24" s="1" t="s">
        <v>383</v>
      </c>
    </row>
    <row r="25" spans="1:9" ht="28">
      <c r="A25" s="1" t="s">
        <v>87</v>
      </c>
      <c r="B25" s="1" t="s">
        <v>407</v>
      </c>
      <c r="C25" s="1" t="s">
        <v>395</v>
      </c>
      <c r="D25" s="5"/>
      <c r="E25" s="6"/>
      <c r="F25" s="5">
        <f t="shared" si="0"/>
        <v>0</v>
      </c>
      <c r="G25" s="5">
        <v>65518</v>
      </c>
      <c r="H25" s="1" t="s">
        <v>50</v>
      </c>
      <c r="I25" s="1" t="s">
        <v>383</v>
      </c>
    </row>
    <row r="26" spans="1:9" ht="28">
      <c r="A26" s="1" t="s">
        <v>93</v>
      </c>
      <c r="B26" s="1" t="s">
        <v>99</v>
      </c>
      <c r="C26" s="1" t="s">
        <v>382</v>
      </c>
      <c r="D26" s="5">
        <v>280000</v>
      </c>
      <c r="E26" s="6">
        <v>1</v>
      </c>
      <c r="F26" s="5">
        <f t="shared" si="0"/>
        <v>280000</v>
      </c>
      <c r="G26" s="5">
        <v>280000</v>
      </c>
      <c r="H26" s="1" t="s">
        <v>408</v>
      </c>
      <c r="I26" s="1" t="s">
        <v>409</v>
      </c>
    </row>
    <row r="27" spans="1:9" ht="28">
      <c r="A27" s="1" t="s">
        <v>103</v>
      </c>
      <c r="B27" s="1" t="s">
        <v>410</v>
      </c>
      <c r="C27" s="1" t="s">
        <v>382</v>
      </c>
      <c r="D27" s="5"/>
      <c r="E27" s="6"/>
      <c r="F27" s="5">
        <f t="shared" si="0"/>
        <v>0</v>
      </c>
      <c r="G27" s="5">
        <v>380572</v>
      </c>
      <c r="H27" s="1" t="s">
        <v>50</v>
      </c>
      <c r="I27" s="1" t="s">
        <v>383</v>
      </c>
    </row>
    <row r="28" spans="1:9" ht="28">
      <c r="A28" s="1" t="s">
        <v>103</v>
      </c>
      <c r="B28" s="1" t="s">
        <v>411</v>
      </c>
      <c r="C28" s="1" t="s">
        <v>382</v>
      </c>
      <c r="D28" s="5"/>
      <c r="E28" s="6"/>
      <c r="F28" s="5">
        <f t="shared" si="0"/>
        <v>0</v>
      </c>
      <c r="G28" s="5">
        <v>380572</v>
      </c>
      <c r="H28" s="1" t="s">
        <v>50</v>
      </c>
      <c r="I28" s="1" t="s">
        <v>383</v>
      </c>
    </row>
    <row r="29" spans="1:9" ht="28">
      <c r="A29" s="1" t="s">
        <v>103</v>
      </c>
      <c r="B29" s="1" t="s">
        <v>412</v>
      </c>
      <c r="C29" s="1" t="s">
        <v>382</v>
      </c>
      <c r="D29" s="5"/>
      <c r="E29" s="6"/>
      <c r="F29" s="5">
        <f t="shared" si="0"/>
        <v>0</v>
      </c>
      <c r="G29" s="5">
        <v>380572</v>
      </c>
      <c r="H29" s="1" t="s">
        <v>50</v>
      </c>
      <c r="I29" s="1" t="s">
        <v>383</v>
      </c>
    </row>
    <row r="30" spans="1:9" ht="28">
      <c r="A30" s="1" t="s">
        <v>123</v>
      </c>
      <c r="B30" s="1" t="s">
        <v>128</v>
      </c>
      <c r="C30" s="1" t="s">
        <v>382</v>
      </c>
      <c r="D30" s="5">
        <v>104760</v>
      </c>
      <c r="E30" s="6">
        <v>1</v>
      </c>
      <c r="F30" s="5">
        <f t="shared" si="0"/>
        <v>104760</v>
      </c>
      <c r="G30" s="5">
        <v>104760</v>
      </c>
      <c r="H30" s="1" t="s">
        <v>408</v>
      </c>
      <c r="I30" s="1" t="s">
        <v>409</v>
      </c>
    </row>
    <row r="31" spans="1:9" ht="28">
      <c r="A31" s="1" t="s">
        <v>131</v>
      </c>
      <c r="B31" s="1" t="s">
        <v>133</v>
      </c>
      <c r="C31" s="1" t="s">
        <v>382</v>
      </c>
      <c r="D31" s="5">
        <v>88161</v>
      </c>
      <c r="E31" s="6">
        <v>1</v>
      </c>
      <c r="F31" s="5">
        <f t="shared" si="0"/>
        <v>88161</v>
      </c>
      <c r="G31" s="5">
        <v>88161</v>
      </c>
      <c r="H31" s="1" t="s">
        <v>408</v>
      </c>
      <c r="I31" s="1" t="s">
        <v>409</v>
      </c>
    </row>
    <row r="32" spans="1:9" ht="28">
      <c r="A32" s="1" t="s">
        <v>138</v>
      </c>
      <c r="B32" s="1" t="s">
        <v>142</v>
      </c>
      <c r="C32" s="1" t="s">
        <v>382</v>
      </c>
      <c r="D32" s="5">
        <v>69832</v>
      </c>
      <c r="E32" s="6">
        <v>1</v>
      </c>
      <c r="F32" s="5">
        <f t="shared" si="0"/>
        <v>69832</v>
      </c>
      <c r="G32" s="5">
        <v>69832</v>
      </c>
      <c r="H32" s="1" t="s">
        <v>408</v>
      </c>
      <c r="I32" s="1" t="s">
        <v>409</v>
      </c>
    </row>
    <row r="33" spans="1:9" ht="28">
      <c r="A33" s="1" t="s">
        <v>146</v>
      </c>
      <c r="B33" s="1" t="s">
        <v>413</v>
      </c>
      <c r="C33" s="1" t="s">
        <v>382</v>
      </c>
      <c r="D33" s="5"/>
      <c r="E33" s="6"/>
      <c r="F33" s="5">
        <f t="shared" si="0"/>
        <v>0</v>
      </c>
      <c r="G33" s="5">
        <v>235494</v>
      </c>
      <c r="H33" s="1" t="s">
        <v>50</v>
      </c>
      <c r="I33" s="1" t="s">
        <v>383</v>
      </c>
    </row>
    <row r="34" spans="1:9" ht="28">
      <c r="A34" s="1" t="s">
        <v>146</v>
      </c>
      <c r="B34" s="1" t="s">
        <v>414</v>
      </c>
      <c r="C34" s="1" t="s">
        <v>382</v>
      </c>
      <c r="D34" s="5"/>
      <c r="E34" s="6"/>
      <c r="F34" s="5">
        <f t="shared" ref="F34:F57" si="1">IF(OR($D34="",$E34=""),0,$D34*$E34)</f>
        <v>0</v>
      </c>
      <c r="G34" s="5">
        <v>235494</v>
      </c>
      <c r="H34" s="1" t="s">
        <v>50</v>
      </c>
      <c r="I34" s="1" t="s">
        <v>383</v>
      </c>
    </row>
    <row r="35" spans="1:9" ht="28">
      <c r="A35" s="1" t="s">
        <v>146</v>
      </c>
      <c r="B35" s="1" t="s">
        <v>415</v>
      </c>
      <c r="C35" s="1" t="s">
        <v>382</v>
      </c>
      <c r="D35" s="5"/>
      <c r="E35" s="6"/>
      <c r="F35" s="5">
        <f t="shared" si="1"/>
        <v>0</v>
      </c>
      <c r="G35" s="5">
        <v>235494</v>
      </c>
      <c r="H35" s="1" t="s">
        <v>50</v>
      </c>
      <c r="I35" s="1" t="s">
        <v>383</v>
      </c>
    </row>
    <row r="36" spans="1:9" ht="28">
      <c r="A36" s="1" t="s">
        <v>146</v>
      </c>
      <c r="B36" s="1" t="s">
        <v>416</v>
      </c>
      <c r="C36" s="1" t="s">
        <v>382</v>
      </c>
      <c r="D36" s="5"/>
      <c r="E36" s="6"/>
      <c r="F36" s="5">
        <f t="shared" si="1"/>
        <v>0</v>
      </c>
      <c r="G36" s="5">
        <v>235494</v>
      </c>
      <c r="H36" s="1" t="s">
        <v>50</v>
      </c>
      <c r="I36" s="1" t="s">
        <v>383</v>
      </c>
    </row>
    <row r="37" spans="1:9" ht="28">
      <c r="A37" s="1" t="s">
        <v>146</v>
      </c>
      <c r="B37" s="1" t="s">
        <v>417</v>
      </c>
      <c r="C37" s="1" t="s">
        <v>382</v>
      </c>
      <c r="D37" s="5"/>
      <c r="E37" s="6"/>
      <c r="F37" s="5">
        <f t="shared" si="1"/>
        <v>0</v>
      </c>
      <c r="G37" s="5">
        <v>235494</v>
      </c>
      <c r="H37" s="1" t="s">
        <v>50</v>
      </c>
      <c r="I37" s="1" t="s">
        <v>383</v>
      </c>
    </row>
    <row r="38" spans="1:9" ht="28">
      <c r="A38" s="1" t="s">
        <v>153</v>
      </c>
      <c r="B38" s="1" t="s">
        <v>155</v>
      </c>
      <c r="C38" s="1" t="s">
        <v>382</v>
      </c>
      <c r="D38" s="5">
        <v>149215</v>
      </c>
      <c r="E38" s="6">
        <v>1</v>
      </c>
      <c r="F38" s="5">
        <f t="shared" si="1"/>
        <v>149215</v>
      </c>
      <c r="G38" s="5">
        <v>149215</v>
      </c>
      <c r="H38" s="1" t="s">
        <v>408</v>
      </c>
      <c r="I38" s="1" t="s">
        <v>409</v>
      </c>
    </row>
    <row r="39" spans="1:9" ht="28">
      <c r="A39" s="1" t="s">
        <v>161</v>
      </c>
      <c r="B39" s="1" t="s">
        <v>418</v>
      </c>
      <c r="C39" s="1" t="s">
        <v>382</v>
      </c>
      <c r="D39" s="5"/>
      <c r="E39" s="6"/>
      <c r="F39" s="5">
        <f t="shared" si="1"/>
        <v>0</v>
      </c>
      <c r="G39" s="5">
        <v>129603</v>
      </c>
      <c r="H39" s="1" t="s">
        <v>50</v>
      </c>
      <c r="I39" s="1" t="s">
        <v>383</v>
      </c>
    </row>
    <row r="40" spans="1:9" ht="28">
      <c r="A40" s="1" t="s">
        <v>161</v>
      </c>
      <c r="B40" s="1" t="s">
        <v>419</v>
      </c>
      <c r="C40" s="1" t="s">
        <v>382</v>
      </c>
      <c r="D40" s="5"/>
      <c r="E40" s="6"/>
      <c r="F40" s="5">
        <f t="shared" si="1"/>
        <v>0</v>
      </c>
      <c r="G40" s="5">
        <v>129603</v>
      </c>
      <c r="H40" s="1" t="s">
        <v>50</v>
      </c>
      <c r="I40" s="1" t="s">
        <v>383</v>
      </c>
    </row>
    <row r="41" spans="1:9" ht="28">
      <c r="A41" s="1" t="s">
        <v>173</v>
      </c>
      <c r="B41" s="1" t="s">
        <v>420</v>
      </c>
      <c r="C41" s="1" t="s">
        <v>382</v>
      </c>
      <c r="D41" s="5"/>
      <c r="E41" s="6"/>
      <c r="F41" s="5">
        <f t="shared" si="1"/>
        <v>0</v>
      </c>
      <c r="G41" s="5">
        <v>102846.84</v>
      </c>
      <c r="H41" s="1" t="s">
        <v>50</v>
      </c>
      <c r="I41" s="1" t="s">
        <v>383</v>
      </c>
    </row>
    <row r="42" spans="1:9" ht="28">
      <c r="A42" s="1" t="s">
        <v>173</v>
      </c>
      <c r="B42" s="1" t="s">
        <v>421</v>
      </c>
      <c r="C42" s="1" t="s">
        <v>382</v>
      </c>
      <c r="D42" s="5"/>
      <c r="E42" s="6"/>
      <c r="F42" s="5">
        <f t="shared" si="1"/>
        <v>0</v>
      </c>
      <c r="G42" s="5">
        <v>102846.84</v>
      </c>
      <c r="H42" s="1" t="s">
        <v>50</v>
      </c>
      <c r="I42" s="1" t="s">
        <v>383</v>
      </c>
    </row>
    <row r="43" spans="1:9" ht="28">
      <c r="A43" s="1" t="s">
        <v>182</v>
      </c>
      <c r="B43" s="1" t="s">
        <v>184</v>
      </c>
      <c r="C43" s="1" t="s">
        <v>382</v>
      </c>
      <c r="D43" s="5">
        <v>33908.75</v>
      </c>
      <c r="E43" s="6">
        <v>1</v>
      </c>
      <c r="F43" s="5">
        <f t="shared" si="1"/>
        <v>33908.75</v>
      </c>
      <c r="G43" s="5">
        <v>33908.75</v>
      </c>
      <c r="H43" s="1" t="s">
        <v>408</v>
      </c>
      <c r="I43" s="1" t="s">
        <v>409</v>
      </c>
    </row>
    <row r="44" spans="1:9" ht="28">
      <c r="A44" s="1" t="s">
        <v>192</v>
      </c>
      <c r="B44" s="1" t="s">
        <v>422</v>
      </c>
      <c r="C44" s="1" t="s">
        <v>382</v>
      </c>
      <c r="D44" s="5"/>
      <c r="E44" s="6"/>
      <c r="F44" s="5">
        <f t="shared" si="1"/>
        <v>0</v>
      </c>
      <c r="G44" s="5">
        <v>27122</v>
      </c>
      <c r="H44" s="1" t="s">
        <v>50</v>
      </c>
      <c r="I44" s="1" t="s">
        <v>383</v>
      </c>
    </row>
    <row r="45" spans="1:9" ht="28">
      <c r="A45" s="1" t="s">
        <v>192</v>
      </c>
      <c r="B45" s="1" t="s">
        <v>142</v>
      </c>
      <c r="C45" s="1" t="s">
        <v>382</v>
      </c>
      <c r="D45" s="5"/>
      <c r="E45" s="6"/>
      <c r="F45" s="5">
        <f t="shared" si="1"/>
        <v>0</v>
      </c>
      <c r="G45" s="5">
        <v>27122</v>
      </c>
      <c r="H45" s="1" t="s">
        <v>50</v>
      </c>
      <c r="I45" s="1" t="s">
        <v>383</v>
      </c>
    </row>
    <row r="46" spans="1:9" ht="28">
      <c r="A46" s="1" t="s">
        <v>200</v>
      </c>
      <c r="B46" s="1" t="s">
        <v>201</v>
      </c>
      <c r="C46" s="1" t="s">
        <v>382</v>
      </c>
      <c r="D46" s="5">
        <v>61098</v>
      </c>
      <c r="E46" s="6">
        <v>1</v>
      </c>
      <c r="F46" s="5">
        <f t="shared" si="1"/>
        <v>61098</v>
      </c>
      <c r="G46" s="5">
        <v>61098</v>
      </c>
      <c r="H46" s="1" t="s">
        <v>408</v>
      </c>
      <c r="I46" s="1" t="s">
        <v>409</v>
      </c>
    </row>
    <row r="47" spans="1:9" ht="28">
      <c r="A47" s="1" t="s">
        <v>222</v>
      </c>
      <c r="B47" s="1" t="s">
        <v>223</v>
      </c>
      <c r="C47" s="1" t="s">
        <v>382</v>
      </c>
      <c r="D47" s="5">
        <v>40275</v>
      </c>
      <c r="E47" s="6">
        <v>1</v>
      </c>
      <c r="F47" s="5">
        <f t="shared" si="1"/>
        <v>40275</v>
      </c>
      <c r="G47" s="5">
        <v>40275</v>
      </c>
      <c r="H47" s="1" t="s">
        <v>408</v>
      </c>
      <c r="I47" s="1" t="s">
        <v>409</v>
      </c>
    </row>
    <row r="48" spans="1:9" ht="28">
      <c r="A48" s="1" t="s">
        <v>225</v>
      </c>
      <c r="B48" s="1" t="s">
        <v>226</v>
      </c>
      <c r="C48" s="1" t="s">
        <v>382</v>
      </c>
      <c r="D48" s="5">
        <v>46450</v>
      </c>
      <c r="E48" s="6">
        <v>1</v>
      </c>
      <c r="F48" s="5">
        <f t="shared" si="1"/>
        <v>46450</v>
      </c>
      <c r="G48" s="5">
        <v>46450</v>
      </c>
      <c r="H48" s="1" t="s">
        <v>408</v>
      </c>
      <c r="I48" s="1" t="s">
        <v>409</v>
      </c>
    </row>
    <row r="49" spans="1:9" ht="28">
      <c r="A49" s="1" t="s">
        <v>227</v>
      </c>
      <c r="B49" s="1" t="s">
        <v>228</v>
      </c>
      <c r="C49" s="1" t="s">
        <v>382</v>
      </c>
      <c r="D49" s="5">
        <v>63164</v>
      </c>
      <c r="E49" s="6">
        <v>1</v>
      </c>
      <c r="F49" s="5">
        <f t="shared" si="1"/>
        <v>63164</v>
      </c>
      <c r="G49" s="5">
        <v>63164</v>
      </c>
      <c r="H49" s="1" t="s">
        <v>408</v>
      </c>
      <c r="I49" s="1" t="s">
        <v>409</v>
      </c>
    </row>
    <row r="50" spans="1:9" ht="28">
      <c r="A50" s="1" t="s">
        <v>270</v>
      </c>
      <c r="B50" s="1" t="s">
        <v>274</v>
      </c>
      <c r="C50" s="1" t="s">
        <v>382</v>
      </c>
      <c r="D50" s="5">
        <v>29000</v>
      </c>
      <c r="E50" s="6">
        <v>1</v>
      </c>
      <c r="F50" s="5">
        <f t="shared" si="1"/>
        <v>29000</v>
      </c>
      <c r="G50" s="5">
        <v>29000</v>
      </c>
      <c r="H50" s="1" t="s">
        <v>408</v>
      </c>
      <c r="I50" s="1" t="s">
        <v>409</v>
      </c>
    </row>
    <row r="51" spans="1:9" ht="28">
      <c r="A51" s="1" t="s">
        <v>284</v>
      </c>
      <c r="B51" s="1" t="s">
        <v>423</v>
      </c>
      <c r="C51" s="1" t="s">
        <v>382</v>
      </c>
      <c r="D51" s="5"/>
      <c r="E51" s="6"/>
      <c r="F51" s="5">
        <f t="shared" si="1"/>
        <v>0</v>
      </c>
      <c r="G51" s="5">
        <v>60568</v>
      </c>
      <c r="H51" s="1" t="s">
        <v>50</v>
      </c>
      <c r="I51" s="1" t="s">
        <v>383</v>
      </c>
    </row>
    <row r="52" spans="1:9" ht="28">
      <c r="A52" s="1" t="s">
        <v>284</v>
      </c>
      <c r="B52" s="1" t="s">
        <v>424</v>
      </c>
      <c r="C52" s="1" t="s">
        <v>382</v>
      </c>
      <c r="D52" s="5"/>
      <c r="E52" s="6"/>
      <c r="F52" s="5">
        <f t="shared" si="1"/>
        <v>0</v>
      </c>
      <c r="G52" s="5">
        <v>60568</v>
      </c>
      <c r="H52" s="1" t="s">
        <v>50</v>
      </c>
      <c r="I52" s="1" t="s">
        <v>383</v>
      </c>
    </row>
    <row r="53" spans="1:9" ht="28">
      <c r="A53" s="1" t="s">
        <v>308</v>
      </c>
      <c r="B53" s="1" t="s">
        <v>425</v>
      </c>
      <c r="C53" s="1" t="s">
        <v>382</v>
      </c>
      <c r="D53" s="5">
        <v>16374</v>
      </c>
      <c r="E53" s="6">
        <v>1</v>
      </c>
      <c r="F53" s="5">
        <f t="shared" si="1"/>
        <v>16374</v>
      </c>
      <c r="G53" s="5">
        <v>16374</v>
      </c>
      <c r="H53" s="1" t="s">
        <v>408</v>
      </c>
      <c r="I53" s="1" t="s">
        <v>409</v>
      </c>
    </row>
    <row r="54" spans="1:9" ht="28">
      <c r="A54" s="1" t="s">
        <v>323</v>
      </c>
      <c r="B54" s="1" t="s">
        <v>324</v>
      </c>
      <c r="C54" s="1" t="s">
        <v>382</v>
      </c>
      <c r="D54" s="5">
        <v>18207</v>
      </c>
      <c r="E54" s="6">
        <v>1</v>
      </c>
      <c r="F54" s="5">
        <f t="shared" si="1"/>
        <v>18207</v>
      </c>
      <c r="G54" s="5">
        <v>18207</v>
      </c>
      <c r="H54" s="1" t="s">
        <v>408</v>
      </c>
      <c r="I54" s="1" t="s">
        <v>409</v>
      </c>
    </row>
    <row r="55" spans="1:9" ht="28">
      <c r="A55" s="1" t="s">
        <v>341</v>
      </c>
      <c r="B55" s="1" t="s">
        <v>343</v>
      </c>
      <c r="C55" s="1" t="s">
        <v>382</v>
      </c>
      <c r="D55" s="5">
        <v>44550</v>
      </c>
      <c r="E55" s="6">
        <v>1</v>
      </c>
      <c r="F55" s="5">
        <f t="shared" si="1"/>
        <v>44550</v>
      </c>
      <c r="G55" s="5">
        <v>44550</v>
      </c>
      <c r="H55" s="1" t="s">
        <v>408</v>
      </c>
      <c r="I55" s="1" t="s">
        <v>409</v>
      </c>
    </row>
    <row r="56" spans="1:9" ht="28">
      <c r="A56" s="1" t="s">
        <v>345</v>
      </c>
      <c r="B56" s="1" t="s">
        <v>426</v>
      </c>
      <c r="C56" s="1" t="s">
        <v>382</v>
      </c>
      <c r="D56" s="5"/>
      <c r="E56" s="6"/>
      <c r="F56" s="5">
        <f t="shared" si="1"/>
        <v>0</v>
      </c>
      <c r="G56" s="5">
        <v>14295.51</v>
      </c>
      <c r="H56" s="1" t="s">
        <v>50</v>
      </c>
      <c r="I56" s="1" t="s">
        <v>383</v>
      </c>
    </row>
    <row r="57" spans="1:9" ht="28">
      <c r="A57" s="1" t="s">
        <v>345</v>
      </c>
      <c r="B57" s="1" t="s">
        <v>427</v>
      </c>
      <c r="C57" s="1" t="s">
        <v>382</v>
      </c>
      <c r="D57" s="5"/>
      <c r="E57" s="6"/>
      <c r="F57" s="5">
        <f t="shared" si="1"/>
        <v>0</v>
      </c>
      <c r="G57" s="5">
        <v>14295.51</v>
      </c>
      <c r="H57" s="1" t="s">
        <v>50</v>
      </c>
      <c r="I57" s="1" t="s">
        <v>383</v>
      </c>
    </row>
  </sheetData>
  <conditionalFormatting sqref="H2:H57">
    <cfRule type="expression" dxfId="0" priority="1">
      <formula>$H2="Y"</formula>
    </cfRule>
  </conditionalFormatting>
  <dataValidations count="2">
    <dataValidation type="list" sqref="H2:H57" xr:uid="{00000000-0002-0000-0100-000000000000}">
      <formula1>"Y,N"</formula1>
    </dataValidation>
    <dataValidation type="decimal" sqref="E2:E57" xr:uid="{00000000-0002-0000-0100-000001000000}">
      <formula1>0</formula1>
      <formula2>1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workbookViewId="0">
      <selection activeCell="C3" sqref="C3"/>
    </sheetView>
  </sheetViews>
  <sheetFormatPr defaultRowHeight="14"/>
  <cols>
    <col min="1" max="1" width="12" customWidth="1"/>
    <col min="2" max="2" width="20" customWidth="1"/>
    <col min="3" max="3" width="16" customWidth="1"/>
    <col min="4" max="4" width="20" customWidth="1"/>
    <col min="5" max="7" width="14" customWidth="1"/>
    <col min="8" max="8" width="16" customWidth="1"/>
    <col min="9" max="9" width="14" customWidth="1"/>
    <col min="10" max="10" width="20" customWidth="1"/>
    <col min="11" max="11" width="32" customWidth="1"/>
  </cols>
  <sheetData>
    <row r="1" spans="1:11" ht="28">
      <c r="A1" s="2" t="s">
        <v>374</v>
      </c>
      <c r="B1" s="2" t="s">
        <v>3</v>
      </c>
      <c r="C1" s="2" t="s">
        <v>428</v>
      </c>
      <c r="D1" s="2" t="s">
        <v>23</v>
      </c>
      <c r="E1" s="2" t="s">
        <v>429</v>
      </c>
      <c r="F1" s="2" t="s">
        <v>430</v>
      </c>
      <c r="G1" s="2" t="s">
        <v>431</v>
      </c>
      <c r="H1" s="2" t="s">
        <v>432</v>
      </c>
      <c r="I1" s="2" t="s">
        <v>433</v>
      </c>
      <c r="J1" s="2" t="s">
        <v>434</v>
      </c>
      <c r="K1" s="2" t="s">
        <v>20</v>
      </c>
    </row>
    <row r="2" spans="1:11">
      <c r="A2" s="1" t="s">
        <v>381</v>
      </c>
      <c r="B2" s="1"/>
      <c r="C2" s="4"/>
      <c r="D2" s="4"/>
      <c r="E2" s="5"/>
      <c r="F2" s="5"/>
      <c r="G2" s="5"/>
      <c r="H2" s="1"/>
      <c r="I2" s="1" t="s">
        <v>43</v>
      </c>
      <c r="J2" s="1"/>
      <c r="K2" s="1" t="s">
        <v>435</v>
      </c>
    </row>
    <row r="3" spans="1:11">
      <c r="A3" s="1" t="s">
        <v>384</v>
      </c>
      <c r="B3" s="1"/>
      <c r="C3" s="4"/>
      <c r="D3" s="4"/>
      <c r="E3" s="5"/>
      <c r="F3" s="5"/>
      <c r="G3" s="5"/>
      <c r="H3" s="1"/>
      <c r="I3" s="1" t="s">
        <v>43</v>
      </c>
      <c r="J3" s="1"/>
      <c r="K3" s="1" t="s">
        <v>435</v>
      </c>
    </row>
    <row r="4" spans="1:11">
      <c r="A4" s="1" t="s">
        <v>385</v>
      </c>
      <c r="B4" s="1"/>
      <c r="C4" s="4"/>
      <c r="D4" s="4"/>
      <c r="E4" s="5"/>
      <c r="F4" s="5"/>
      <c r="G4" s="5"/>
      <c r="H4" s="1"/>
      <c r="I4" s="1" t="s">
        <v>43</v>
      </c>
      <c r="J4" s="1"/>
      <c r="K4" s="1" t="s">
        <v>435</v>
      </c>
    </row>
    <row r="5" spans="1:11">
      <c r="A5" s="1" t="s">
        <v>386</v>
      </c>
      <c r="B5" s="1"/>
      <c r="C5" s="4"/>
      <c r="D5" s="4"/>
      <c r="E5" s="5"/>
      <c r="F5" s="5"/>
      <c r="G5" s="5"/>
      <c r="H5" s="1"/>
      <c r="I5" s="1" t="s">
        <v>43</v>
      </c>
      <c r="J5" s="1"/>
      <c r="K5" s="1" t="s">
        <v>435</v>
      </c>
    </row>
    <row r="6" spans="1:11">
      <c r="A6" s="1" t="s">
        <v>387</v>
      </c>
      <c r="B6" s="1"/>
      <c r="C6" s="4"/>
      <c r="D6" s="4"/>
      <c r="E6" s="5"/>
      <c r="F6" s="5"/>
      <c r="G6" s="5"/>
      <c r="H6" s="1"/>
      <c r="I6" s="1" t="s">
        <v>43</v>
      </c>
      <c r="J6" s="1"/>
      <c r="K6" s="1" t="s">
        <v>435</v>
      </c>
    </row>
    <row r="7" spans="1:11">
      <c r="A7" s="1" t="s">
        <v>388</v>
      </c>
      <c r="B7" s="1"/>
      <c r="C7" s="4"/>
      <c r="D7" s="4"/>
      <c r="E7" s="5"/>
      <c r="F7" s="5"/>
      <c r="G7" s="5"/>
      <c r="H7" s="1"/>
      <c r="I7" s="1" t="s">
        <v>43</v>
      </c>
      <c r="J7" s="1"/>
      <c r="K7" s="1" t="s">
        <v>435</v>
      </c>
    </row>
    <row r="8" spans="1:11">
      <c r="A8" s="1" t="s">
        <v>389</v>
      </c>
      <c r="B8" s="1"/>
      <c r="C8" s="4"/>
      <c r="D8" s="4"/>
      <c r="E8" s="5"/>
      <c r="F8" s="5"/>
      <c r="G8" s="5"/>
      <c r="H8" s="1"/>
      <c r="I8" s="1" t="s">
        <v>43</v>
      </c>
      <c r="J8" s="1"/>
      <c r="K8" s="1" t="s">
        <v>435</v>
      </c>
    </row>
    <row r="9" spans="1:11">
      <c r="A9" s="1" t="s">
        <v>390</v>
      </c>
      <c r="B9" s="1"/>
      <c r="C9" s="4"/>
      <c r="D9" s="4"/>
      <c r="E9" s="5"/>
      <c r="F9" s="5"/>
      <c r="G9" s="5"/>
      <c r="H9" s="1"/>
      <c r="I9" s="1" t="s">
        <v>43</v>
      </c>
      <c r="J9" s="1"/>
      <c r="K9" s="1" t="s">
        <v>435</v>
      </c>
    </row>
    <row r="10" spans="1:11">
      <c r="A10" s="1" t="s">
        <v>391</v>
      </c>
      <c r="B10" s="1"/>
      <c r="C10" s="4"/>
      <c r="D10" s="4"/>
      <c r="E10" s="5"/>
      <c r="F10" s="5"/>
      <c r="G10" s="5"/>
      <c r="H10" s="1"/>
      <c r="I10" s="1" t="s">
        <v>43</v>
      </c>
      <c r="J10" s="1"/>
      <c r="K10" s="1" t="s">
        <v>435</v>
      </c>
    </row>
    <row r="11" spans="1:11">
      <c r="A11" s="1" t="s">
        <v>392</v>
      </c>
      <c r="B11" s="1"/>
      <c r="C11" s="4"/>
      <c r="D11" s="4"/>
      <c r="E11" s="5"/>
      <c r="F11" s="5"/>
      <c r="G11" s="5"/>
      <c r="H11" s="1"/>
      <c r="I11" s="1" t="s">
        <v>61</v>
      </c>
      <c r="J11" s="1"/>
      <c r="K11" s="1" t="s">
        <v>435</v>
      </c>
    </row>
    <row r="12" spans="1:11">
      <c r="A12" s="1" t="s">
        <v>393</v>
      </c>
      <c r="B12" s="1"/>
      <c r="C12" s="4"/>
      <c r="D12" s="4"/>
      <c r="E12" s="5"/>
      <c r="F12" s="5"/>
      <c r="G12" s="5"/>
      <c r="H12" s="1"/>
      <c r="I12" s="1" t="s">
        <v>61</v>
      </c>
      <c r="J12" s="1"/>
      <c r="K12" s="1" t="s">
        <v>435</v>
      </c>
    </row>
    <row r="13" spans="1:11">
      <c r="A13" s="1" t="s">
        <v>394</v>
      </c>
      <c r="B13" s="1"/>
      <c r="C13" s="4"/>
      <c r="D13" s="4"/>
      <c r="E13" s="5"/>
      <c r="F13" s="5"/>
      <c r="G13" s="5"/>
      <c r="H13" s="1"/>
      <c r="I13" s="1" t="s">
        <v>68</v>
      </c>
      <c r="J13" s="1"/>
      <c r="K13" s="1" t="s">
        <v>435</v>
      </c>
    </row>
    <row r="14" spans="1:11">
      <c r="A14" s="1" t="s">
        <v>396</v>
      </c>
      <c r="B14" s="1"/>
      <c r="C14" s="4"/>
      <c r="D14" s="4"/>
      <c r="E14" s="5"/>
      <c r="F14" s="5"/>
      <c r="G14" s="5"/>
      <c r="H14" s="1"/>
      <c r="I14" s="1" t="s">
        <v>68</v>
      </c>
      <c r="J14" s="1"/>
      <c r="K14" s="1" t="s">
        <v>435</v>
      </c>
    </row>
    <row r="15" spans="1:11">
      <c r="A15" s="1" t="s">
        <v>397</v>
      </c>
      <c r="B15" s="1"/>
      <c r="C15" s="4"/>
      <c r="D15" s="4"/>
      <c r="E15" s="5"/>
      <c r="F15" s="5"/>
      <c r="G15" s="5"/>
      <c r="H15" s="1"/>
      <c r="I15" s="1" t="s">
        <v>68</v>
      </c>
      <c r="J15" s="1"/>
      <c r="K15" s="1" t="s">
        <v>435</v>
      </c>
    </row>
    <row r="16" spans="1:11">
      <c r="A16" s="1" t="s">
        <v>398</v>
      </c>
      <c r="B16" s="1"/>
      <c r="C16" s="4"/>
      <c r="D16" s="4"/>
      <c r="E16" s="5"/>
      <c r="F16" s="5"/>
      <c r="G16" s="5"/>
      <c r="H16" s="1"/>
      <c r="I16" s="1" t="s">
        <v>68</v>
      </c>
      <c r="J16" s="1"/>
      <c r="K16" s="1" t="s">
        <v>435</v>
      </c>
    </row>
    <row r="17" spans="1:11">
      <c r="A17" s="1" t="s">
        <v>399</v>
      </c>
      <c r="B17" s="1"/>
      <c r="C17" s="4"/>
      <c r="D17" s="4"/>
      <c r="E17" s="5"/>
      <c r="F17" s="5"/>
      <c r="G17" s="5"/>
      <c r="H17" s="1"/>
      <c r="I17" s="1" t="s">
        <v>75</v>
      </c>
      <c r="J17" s="1"/>
      <c r="K17" s="1" t="s">
        <v>435</v>
      </c>
    </row>
    <row r="18" spans="1:11">
      <c r="A18" s="1" t="s">
        <v>400</v>
      </c>
      <c r="B18" s="1"/>
      <c r="C18" s="4"/>
      <c r="D18" s="4"/>
      <c r="E18" s="5"/>
      <c r="F18" s="5"/>
      <c r="G18" s="5"/>
      <c r="H18" s="1"/>
      <c r="I18" s="1" t="s">
        <v>75</v>
      </c>
      <c r="J18" s="1"/>
      <c r="K18" s="1" t="s">
        <v>435</v>
      </c>
    </row>
    <row r="19" spans="1:11">
      <c r="A19" s="1" t="s">
        <v>401</v>
      </c>
      <c r="B19" s="1"/>
      <c r="C19" s="4"/>
      <c r="D19" s="4"/>
      <c r="E19" s="5"/>
      <c r="F19" s="5"/>
      <c r="G19" s="5"/>
      <c r="H19" s="1"/>
      <c r="I19" s="1" t="s">
        <v>87</v>
      </c>
      <c r="J19" s="1"/>
      <c r="K19" s="1" t="s">
        <v>435</v>
      </c>
    </row>
    <row r="20" spans="1:11">
      <c r="A20" s="1" t="s">
        <v>402</v>
      </c>
      <c r="B20" s="1"/>
      <c r="C20" s="4"/>
      <c r="D20" s="4"/>
      <c r="E20" s="5"/>
      <c r="F20" s="5"/>
      <c r="G20" s="5"/>
      <c r="H20" s="1"/>
      <c r="I20" s="1" t="s">
        <v>87</v>
      </c>
      <c r="J20" s="1"/>
      <c r="K20" s="1" t="s">
        <v>435</v>
      </c>
    </row>
    <row r="21" spans="1:11">
      <c r="A21" s="1" t="s">
        <v>403</v>
      </c>
      <c r="B21" s="1"/>
      <c r="C21" s="4"/>
      <c r="D21" s="4"/>
      <c r="E21" s="5"/>
      <c r="F21" s="5"/>
      <c r="G21" s="5"/>
      <c r="H21" s="1"/>
      <c r="I21" s="1" t="s">
        <v>87</v>
      </c>
      <c r="J21" s="1"/>
      <c r="K21" s="1" t="s">
        <v>435</v>
      </c>
    </row>
    <row r="22" spans="1:11">
      <c r="A22" s="1" t="s">
        <v>404</v>
      </c>
      <c r="B22" s="1"/>
      <c r="C22" s="4"/>
      <c r="D22" s="4"/>
      <c r="E22" s="5"/>
      <c r="F22" s="5"/>
      <c r="G22" s="5"/>
      <c r="H22" s="1"/>
      <c r="I22" s="1" t="s">
        <v>87</v>
      </c>
      <c r="J22" s="1"/>
      <c r="K22" s="1" t="s">
        <v>435</v>
      </c>
    </row>
    <row r="23" spans="1:11">
      <c r="A23" s="1" t="s">
        <v>405</v>
      </c>
      <c r="B23" s="1"/>
      <c r="C23" s="4"/>
      <c r="D23" s="4"/>
      <c r="E23" s="5"/>
      <c r="F23" s="5"/>
      <c r="G23" s="5"/>
      <c r="H23" s="1"/>
      <c r="I23" s="1" t="s">
        <v>87</v>
      </c>
      <c r="J23" s="1"/>
      <c r="K23" s="1" t="s">
        <v>435</v>
      </c>
    </row>
    <row r="24" spans="1:11">
      <c r="A24" s="1" t="s">
        <v>406</v>
      </c>
      <c r="B24" s="1"/>
      <c r="C24" s="4"/>
      <c r="D24" s="4"/>
      <c r="E24" s="5"/>
      <c r="F24" s="5"/>
      <c r="G24" s="5"/>
      <c r="H24" s="1"/>
      <c r="I24" s="1" t="s">
        <v>87</v>
      </c>
      <c r="J24" s="1"/>
      <c r="K24" s="1" t="s">
        <v>435</v>
      </c>
    </row>
    <row r="25" spans="1:11">
      <c r="A25" s="1" t="s">
        <v>407</v>
      </c>
      <c r="B25" s="1"/>
      <c r="C25" s="4"/>
      <c r="D25" s="4"/>
      <c r="E25" s="5"/>
      <c r="F25" s="5"/>
      <c r="G25" s="5"/>
      <c r="H25" s="1"/>
      <c r="I25" s="1" t="s">
        <v>87</v>
      </c>
      <c r="J25" s="1"/>
      <c r="K25" s="1" t="s">
        <v>435</v>
      </c>
    </row>
    <row r="26" spans="1:11">
      <c r="A26" s="1" t="s">
        <v>99</v>
      </c>
      <c r="B26" s="1"/>
      <c r="C26" s="4"/>
      <c r="D26" s="4"/>
      <c r="E26" s="5"/>
      <c r="F26" s="5"/>
      <c r="G26" s="5"/>
      <c r="H26" s="1"/>
      <c r="I26" s="1" t="s">
        <v>93</v>
      </c>
      <c r="J26" s="1"/>
      <c r="K26" s="1" t="s">
        <v>435</v>
      </c>
    </row>
    <row r="27" spans="1:11">
      <c r="A27" s="1" t="s">
        <v>410</v>
      </c>
      <c r="B27" s="1"/>
      <c r="C27" s="4"/>
      <c r="D27" s="4"/>
      <c r="E27" s="5"/>
      <c r="F27" s="5"/>
      <c r="G27" s="5"/>
      <c r="H27" s="1"/>
      <c r="I27" s="1" t="s">
        <v>103</v>
      </c>
      <c r="J27" s="1"/>
      <c r="K27" s="1" t="s">
        <v>435</v>
      </c>
    </row>
    <row r="28" spans="1:11">
      <c r="A28" s="1" t="s">
        <v>411</v>
      </c>
      <c r="B28" s="1"/>
      <c r="C28" s="4"/>
      <c r="D28" s="4"/>
      <c r="E28" s="5"/>
      <c r="F28" s="5"/>
      <c r="G28" s="5"/>
      <c r="H28" s="1"/>
      <c r="I28" s="1" t="s">
        <v>103</v>
      </c>
      <c r="J28" s="1"/>
      <c r="K28" s="1" t="s">
        <v>435</v>
      </c>
    </row>
    <row r="29" spans="1:11">
      <c r="A29" s="1" t="s">
        <v>412</v>
      </c>
      <c r="B29" s="1"/>
      <c r="C29" s="4"/>
      <c r="D29" s="4"/>
      <c r="E29" s="5"/>
      <c r="F29" s="5"/>
      <c r="G29" s="5"/>
      <c r="H29" s="1"/>
      <c r="I29" s="1" t="s">
        <v>103</v>
      </c>
      <c r="J29" s="1"/>
      <c r="K29" s="1" t="s">
        <v>435</v>
      </c>
    </row>
    <row r="30" spans="1:11">
      <c r="A30" s="1" t="s">
        <v>128</v>
      </c>
      <c r="B30" s="1"/>
      <c r="C30" s="4"/>
      <c r="D30" s="4"/>
      <c r="E30" s="5"/>
      <c r="F30" s="5"/>
      <c r="G30" s="5"/>
      <c r="H30" s="1"/>
      <c r="I30" s="1" t="s">
        <v>123</v>
      </c>
      <c r="J30" s="1"/>
      <c r="K30" s="1" t="s">
        <v>435</v>
      </c>
    </row>
    <row r="31" spans="1:11">
      <c r="A31" s="1" t="s">
        <v>133</v>
      </c>
      <c r="B31" s="1"/>
      <c r="C31" s="4"/>
      <c r="D31" s="4"/>
      <c r="E31" s="5"/>
      <c r="F31" s="5"/>
      <c r="G31" s="5"/>
      <c r="H31" s="1"/>
      <c r="I31" s="1" t="s">
        <v>131</v>
      </c>
      <c r="J31" s="1"/>
      <c r="K31" s="1" t="s">
        <v>435</v>
      </c>
    </row>
    <row r="32" spans="1:11">
      <c r="A32" s="1" t="s">
        <v>142</v>
      </c>
      <c r="B32" s="1"/>
      <c r="C32" s="4"/>
      <c r="D32" s="4"/>
      <c r="E32" s="5"/>
      <c r="F32" s="5"/>
      <c r="G32" s="5"/>
      <c r="H32" s="1"/>
      <c r="I32" s="1" t="s">
        <v>138</v>
      </c>
      <c r="J32" s="1"/>
      <c r="K32" s="1" t="s">
        <v>435</v>
      </c>
    </row>
    <row r="33" spans="1:11">
      <c r="A33" s="1" t="s">
        <v>413</v>
      </c>
      <c r="B33" s="1"/>
      <c r="C33" s="4"/>
      <c r="D33" s="4"/>
      <c r="E33" s="5"/>
      <c r="F33" s="5"/>
      <c r="G33" s="5"/>
      <c r="H33" s="1"/>
      <c r="I33" s="1" t="s">
        <v>146</v>
      </c>
      <c r="J33" s="1"/>
      <c r="K33" s="1" t="s">
        <v>435</v>
      </c>
    </row>
    <row r="34" spans="1:11">
      <c r="A34" s="1" t="s">
        <v>414</v>
      </c>
      <c r="B34" s="1"/>
      <c r="C34" s="4"/>
      <c r="D34" s="4"/>
      <c r="E34" s="5"/>
      <c r="F34" s="5"/>
      <c r="G34" s="5"/>
      <c r="H34" s="1"/>
      <c r="I34" s="1" t="s">
        <v>146</v>
      </c>
      <c r="J34" s="1"/>
      <c r="K34" s="1" t="s">
        <v>435</v>
      </c>
    </row>
    <row r="35" spans="1:11">
      <c r="A35" s="1" t="s">
        <v>415</v>
      </c>
      <c r="B35" s="1"/>
      <c r="C35" s="4"/>
      <c r="D35" s="4"/>
      <c r="E35" s="5"/>
      <c r="F35" s="5"/>
      <c r="G35" s="5"/>
      <c r="H35" s="1"/>
      <c r="I35" s="1" t="s">
        <v>146</v>
      </c>
      <c r="J35" s="1"/>
      <c r="K35" s="1" t="s">
        <v>435</v>
      </c>
    </row>
    <row r="36" spans="1:11">
      <c r="A36" s="1" t="s">
        <v>416</v>
      </c>
      <c r="B36" s="1"/>
      <c r="C36" s="4"/>
      <c r="D36" s="4"/>
      <c r="E36" s="5"/>
      <c r="F36" s="5"/>
      <c r="G36" s="5"/>
      <c r="H36" s="1"/>
      <c r="I36" s="1" t="s">
        <v>146</v>
      </c>
      <c r="J36" s="1"/>
      <c r="K36" s="1" t="s">
        <v>435</v>
      </c>
    </row>
    <row r="37" spans="1:11">
      <c r="A37" s="1" t="s">
        <v>417</v>
      </c>
      <c r="B37" s="1"/>
      <c r="C37" s="4"/>
      <c r="D37" s="4"/>
      <c r="E37" s="5"/>
      <c r="F37" s="5"/>
      <c r="G37" s="5"/>
      <c r="H37" s="1"/>
      <c r="I37" s="1" t="s">
        <v>146</v>
      </c>
      <c r="J37" s="1"/>
      <c r="K37" s="1" t="s">
        <v>435</v>
      </c>
    </row>
    <row r="38" spans="1:11">
      <c r="A38" s="1" t="s">
        <v>155</v>
      </c>
      <c r="B38" s="1"/>
      <c r="C38" s="4"/>
      <c r="D38" s="4"/>
      <c r="E38" s="5"/>
      <c r="F38" s="5"/>
      <c r="G38" s="5"/>
      <c r="H38" s="1"/>
      <c r="I38" s="1" t="s">
        <v>153</v>
      </c>
      <c r="J38" s="1"/>
      <c r="K38" s="1" t="s">
        <v>435</v>
      </c>
    </row>
    <row r="39" spans="1:11">
      <c r="A39" s="1" t="s">
        <v>418</v>
      </c>
      <c r="B39" s="1"/>
      <c r="C39" s="4"/>
      <c r="D39" s="4"/>
      <c r="E39" s="5"/>
      <c r="F39" s="5"/>
      <c r="G39" s="5"/>
      <c r="H39" s="1"/>
      <c r="I39" s="1" t="s">
        <v>161</v>
      </c>
      <c r="J39" s="1"/>
      <c r="K39" s="1" t="s">
        <v>435</v>
      </c>
    </row>
    <row r="40" spans="1:11">
      <c r="A40" s="1" t="s">
        <v>419</v>
      </c>
      <c r="B40" s="1"/>
      <c r="C40" s="4"/>
      <c r="D40" s="4"/>
      <c r="E40" s="5"/>
      <c r="F40" s="5"/>
      <c r="G40" s="5"/>
      <c r="H40" s="1"/>
      <c r="I40" s="1" t="s">
        <v>161</v>
      </c>
      <c r="J40" s="1"/>
      <c r="K40" s="1" t="s">
        <v>435</v>
      </c>
    </row>
    <row r="41" spans="1:11">
      <c r="A41" s="1" t="s">
        <v>420</v>
      </c>
      <c r="B41" s="1"/>
      <c r="C41" s="4"/>
      <c r="D41" s="4"/>
      <c r="E41" s="5"/>
      <c r="F41" s="5"/>
      <c r="G41" s="5"/>
      <c r="H41" s="1"/>
      <c r="I41" s="1" t="s">
        <v>173</v>
      </c>
      <c r="J41" s="1"/>
      <c r="K41" s="1" t="s">
        <v>435</v>
      </c>
    </row>
    <row r="42" spans="1:11">
      <c r="A42" s="1" t="s">
        <v>421</v>
      </c>
      <c r="B42" s="1"/>
      <c r="C42" s="4"/>
      <c r="D42" s="4"/>
      <c r="E42" s="5"/>
      <c r="F42" s="5"/>
      <c r="G42" s="5"/>
      <c r="H42" s="1"/>
      <c r="I42" s="1" t="s">
        <v>173</v>
      </c>
      <c r="J42" s="1"/>
      <c r="K42" s="1" t="s">
        <v>435</v>
      </c>
    </row>
    <row r="43" spans="1:11">
      <c r="A43" s="1" t="s">
        <v>184</v>
      </c>
      <c r="B43" s="1"/>
      <c r="C43" s="4"/>
      <c r="D43" s="4"/>
      <c r="E43" s="5"/>
      <c r="F43" s="5"/>
      <c r="G43" s="5"/>
      <c r="H43" s="1"/>
      <c r="I43" s="1" t="s">
        <v>182</v>
      </c>
      <c r="J43" s="1"/>
      <c r="K43" s="1" t="s">
        <v>435</v>
      </c>
    </row>
    <row r="44" spans="1:11">
      <c r="A44" s="1" t="s">
        <v>422</v>
      </c>
      <c r="B44" s="1"/>
      <c r="C44" s="4"/>
      <c r="D44" s="4"/>
      <c r="E44" s="5"/>
      <c r="F44" s="5"/>
      <c r="G44" s="5"/>
      <c r="H44" s="1"/>
      <c r="I44" s="1" t="s">
        <v>192</v>
      </c>
      <c r="J44" s="1"/>
      <c r="K44" s="1" t="s">
        <v>435</v>
      </c>
    </row>
    <row r="45" spans="1:11">
      <c r="A45" s="1" t="s">
        <v>201</v>
      </c>
      <c r="B45" s="1"/>
      <c r="C45" s="4"/>
      <c r="D45" s="4"/>
      <c r="E45" s="5"/>
      <c r="F45" s="5"/>
      <c r="G45" s="5"/>
      <c r="H45" s="1"/>
      <c r="I45" s="1" t="s">
        <v>200</v>
      </c>
      <c r="J45" s="1"/>
      <c r="K45" s="1" t="s">
        <v>435</v>
      </c>
    </row>
    <row r="46" spans="1:11">
      <c r="A46" s="1" t="s">
        <v>223</v>
      </c>
      <c r="B46" s="1"/>
      <c r="C46" s="4"/>
      <c r="D46" s="4"/>
      <c r="E46" s="5"/>
      <c r="F46" s="5"/>
      <c r="G46" s="5"/>
      <c r="H46" s="1"/>
      <c r="I46" s="1" t="s">
        <v>222</v>
      </c>
      <c r="J46" s="1"/>
      <c r="K46" s="1" t="s">
        <v>435</v>
      </c>
    </row>
    <row r="47" spans="1:11">
      <c r="A47" s="1" t="s">
        <v>226</v>
      </c>
      <c r="B47" s="1"/>
      <c r="C47" s="4"/>
      <c r="D47" s="4"/>
      <c r="E47" s="5"/>
      <c r="F47" s="5"/>
      <c r="G47" s="5"/>
      <c r="H47" s="1"/>
      <c r="I47" s="1" t="s">
        <v>225</v>
      </c>
      <c r="J47" s="1"/>
      <c r="K47" s="1" t="s">
        <v>435</v>
      </c>
    </row>
    <row r="48" spans="1:11">
      <c r="A48" s="1" t="s">
        <v>228</v>
      </c>
      <c r="B48" s="1"/>
      <c r="C48" s="4"/>
      <c r="D48" s="4"/>
      <c r="E48" s="5"/>
      <c r="F48" s="5"/>
      <c r="G48" s="5"/>
      <c r="H48" s="1"/>
      <c r="I48" s="1" t="s">
        <v>227</v>
      </c>
      <c r="J48" s="1"/>
      <c r="K48" s="1" t="s">
        <v>435</v>
      </c>
    </row>
    <row r="49" spans="1:11">
      <c r="A49" s="1" t="s">
        <v>274</v>
      </c>
      <c r="B49" s="1"/>
      <c r="C49" s="4"/>
      <c r="D49" s="4"/>
      <c r="E49" s="5"/>
      <c r="F49" s="5"/>
      <c r="G49" s="5"/>
      <c r="H49" s="1"/>
      <c r="I49" s="1" t="s">
        <v>270</v>
      </c>
      <c r="J49" s="1"/>
      <c r="K49" s="1" t="s">
        <v>435</v>
      </c>
    </row>
    <row r="50" spans="1:11">
      <c r="A50" s="1" t="s">
        <v>423</v>
      </c>
      <c r="B50" s="1"/>
      <c r="C50" s="4"/>
      <c r="D50" s="4"/>
      <c r="E50" s="5"/>
      <c r="F50" s="5"/>
      <c r="G50" s="5"/>
      <c r="H50" s="1"/>
      <c r="I50" s="1" t="s">
        <v>284</v>
      </c>
      <c r="J50" s="1"/>
      <c r="K50" s="1" t="s">
        <v>435</v>
      </c>
    </row>
    <row r="51" spans="1:11">
      <c r="A51" s="1" t="s">
        <v>424</v>
      </c>
      <c r="B51" s="1"/>
      <c r="C51" s="4"/>
      <c r="D51" s="4"/>
      <c r="E51" s="5"/>
      <c r="F51" s="5"/>
      <c r="G51" s="5"/>
      <c r="H51" s="1"/>
      <c r="I51" s="1" t="s">
        <v>284</v>
      </c>
      <c r="J51" s="1"/>
      <c r="K51" s="1" t="s">
        <v>435</v>
      </c>
    </row>
    <row r="52" spans="1:11">
      <c r="A52" s="1" t="s">
        <v>425</v>
      </c>
      <c r="B52" s="1"/>
      <c r="C52" s="4"/>
      <c r="D52" s="4"/>
      <c r="E52" s="5"/>
      <c r="F52" s="5"/>
      <c r="G52" s="5"/>
      <c r="H52" s="1"/>
      <c r="I52" s="1" t="s">
        <v>308</v>
      </c>
      <c r="J52" s="1"/>
      <c r="K52" s="1" t="s">
        <v>435</v>
      </c>
    </row>
    <row r="53" spans="1:11">
      <c r="A53" s="1" t="s">
        <v>324</v>
      </c>
      <c r="B53" s="1"/>
      <c r="C53" s="4"/>
      <c r="D53" s="4"/>
      <c r="E53" s="5"/>
      <c r="F53" s="5"/>
      <c r="G53" s="5"/>
      <c r="H53" s="1"/>
      <c r="I53" s="1" t="s">
        <v>323</v>
      </c>
      <c r="J53" s="1"/>
      <c r="K53" s="1" t="s">
        <v>435</v>
      </c>
    </row>
    <row r="54" spans="1:11">
      <c r="A54" s="1" t="s">
        <v>343</v>
      </c>
      <c r="B54" s="1"/>
      <c r="C54" s="4"/>
      <c r="D54" s="4"/>
      <c r="E54" s="5"/>
      <c r="F54" s="5"/>
      <c r="G54" s="5"/>
      <c r="H54" s="1"/>
      <c r="I54" s="1" t="s">
        <v>341</v>
      </c>
      <c r="J54" s="1"/>
      <c r="K54" s="1" t="s">
        <v>435</v>
      </c>
    </row>
    <row r="55" spans="1:11">
      <c r="A55" s="1" t="s">
        <v>426</v>
      </c>
      <c r="B55" s="1"/>
      <c r="C55" s="4"/>
      <c r="D55" s="4"/>
      <c r="E55" s="5"/>
      <c r="F55" s="5"/>
      <c r="G55" s="5"/>
      <c r="H55" s="1"/>
      <c r="I55" s="1" t="s">
        <v>345</v>
      </c>
      <c r="J55" s="1"/>
      <c r="K55" s="1" t="s">
        <v>435</v>
      </c>
    </row>
    <row r="56" spans="1:11">
      <c r="A56" s="1" t="s">
        <v>427</v>
      </c>
      <c r="B56" s="1"/>
      <c r="C56" s="4"/>
      <c r="D56" s="4"/>
      <c r="E56" s="5"/>
      <c r="F56" s="5"/>
      <c r="G56" s="5"/>
      <c r="H56" s="1"/>
      <c r="I56" s="1" t="s">
        <v>345</v>
      </c>
      <c r="J56" s="1"/>
      <c r="K56" s="1" t="s">
        <v>435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1"/>
  <sheetViews>
    <sheetView workbookViewId="0">
      <selection activeCell="E4" sqref="E4"/>
    </sheetView>
  </sheetViews>
  <sheetFormatPr defaultColWidth="22.5" defaultRowHeight="14"/>
  <sheetData>
    <row r="1" spans="1:14" ht="70">
      <c r="A1" s="2" t="s">
        <v>1</v>
      </c>
      <c r="B1" s="2" t="s">
        <v>3</v>
      </c>
      <c r="C1" s="2" t="s">
        <v>6</v>
      </c>
      <c r="D1" s="2" t="s">
        <v>10</v>
      </c>
      <c r="E1" s="2" t="s">
        <v>9</v>
      </c>
      <c r="F1" s="2" t="s">
        <v>23</v>
      </c>
      <c r="G1" s="2" t="s">
        <v>24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</row>
    <row r="2" spans="1:14" ht="56">
      <c r="A2" s="1" t="str">
        <f>Pipeline_Control!B2</f>
        <v>DPS-0002</v>
      </c>
      <c r="B2" s="1" t="str">
        <f>Pipeline_Control!D2</f>
        <v>SDJ</v>
      </c>
      <c r="C2" s="1" t="str">
        <f>Pipeline_Control!G2</f>
        <v>Danny Park</v>
      </c>
      <c r="D2" s="5">
        <f>Pipeline_Control!K2</f>
        <v>3000000</v>
      </c>
      <c r="E2" s="4" t="str">
        <f>Pipeline_Control!J2</f>
        <v>2026-04-30</v>
      </c>
      <c r="F2" s="4" t="str">
        <f>Pipeline_Control!X2</f>
        <v>2026-04-30</v>
      </c>
      <c r="G2" s="4" t="str">
        <f>Pipeline_Control!Y2</f>
        <v>2026-05-30</v>
      </c>
      <c r="H2" s="1" t="str">
        <f>Pipeline_Control!AI2</f>
        <v>Converted/Partially Converted</v>
      </c>
      <c r="I2" s="1" t="str">
        <f>Pipeline_Control!AJ2</f>
        <v>Not Eligible - SO Mapping Review</v>
      </c>
      <c r="J2" s="1" t="str">
        <f>Pipeline_Control!AK2</f>
        <v>N</v>
      </c>
      <c r="K2" s="5">
        <f>Pipeline_Control!AL2</f>
        <v>0</v>
      </c>
      <c r="L2" s="5" t="str">
        <f>Pipeline_Control!AM2</f>
        <v>Y</v>
      </c>
      <c r="M2" s="5">
        <f>Pipeline_Control!AN2</f>
        <v>3000000</v>
      </c>
      <c r="N2" s="1" t="str">
        <f>Pipeline_Control!AO2</f>
        <v>SO mapping must be resolved</v>
      </c>
    </row>
    <row r="3" spans="1:14" ht="56">
      <c r="A3" s="1" t="str">
        <f>Pipeline_Control!B3</f>
        <v>DPS-0004</v>
      </c>
      <c r="B3" s="1" t="str">
        <f>Pipeline_Control!D3</f>
        <v>SDJ</v>
      </c>
      <c r="C3" s="1" t="str">
        <f>Pipeline_Control!G3</f>
        <v>Danny Park</v>
      </c>
      <c r="D3" s="5">
        <f>Pipeline_Control!K3</f>
        <v>1560000</v>
      </c>
      <c r="E3" s="4" t="str">
        <f>Pipeline_Control!J3</f>
        <v>2026-05-06</v>
      </c>
      <c r="F3" s="4" t="str">
        <f>Pipeline_Control!X3</f>
        <v>2026-05-06</v>
      </c>
      <c r="G3" s="4" t="str">
        <f>Pipeline_Control!Y3</f>
        <v>2026-06-05</v>
      </c>
      <c r="H3" s="1" t="str">
        <f>Pipeline_Control!AI3</f>
        <v>Converted/Partially Converted</v>
      </c>
      <c r="I3" s="1" t="str">
        <f>Pipeline_Control!AJ3</f>
        <v>Not Eligible - SO Mapping Review</v>
      </c>
      <c r="J3" s="1" t="str">
        <f>Pipeline_Control!AK3</f>
        <v>N</v>
      </c>
      <c r="K3" s="5">
        <f>Pipeline_Control!AL3</f>
        <v>0</v>
      </c>
      <c r="L3" s="5" t="str">
        <f>Pipeline_Control!AM3</f>
        <v>Y</v>
      </c>
      <c r="M3" s="5">
        <f>Pipeline_Control!AN3</f>
        <v>1560000</v>
      </c>
      <c r="N3" s="1" t="str">
        <f>Pipeline_Control!AO3</f>
        <v>SO mapping must be resolved</v>
      </c>
    </row>
    <row r="4" spans="1:14" ht="56">
      <c r="A4" s="1" t="str">
        <f>Pipeline_Control!B4</f>
        <v>DPS-0005</v>
      </c>
      <c r="B4" s="1" t="str">
        <f>Pipeline_Control!D4</f>
        <v>SDJ</v>
      </c>
      <c r="C4" s="1" t="str">
        <f>Pipeline_Control!G4</f>
        <v>Danny Park</v>
      </c>
      <c r="D4" s="5">
        <f>Pipeline_Control!K4</f>
        <v>1500000</v>
      </c>
      <c r="E4" s="4" t="str">
        <f>Pipeline_Control!J4</f>
        <v>2026-02-25</v>
      </c>
      <c r="F4" s="4" t="str">
        <f>Pipeline_Control!X4</f>
        <v>2026-02-25</v>
      </c>
      <c r="G4" s="4" t="str">
        <f>Pipeline_Control!Y4</f>
        <v>2026-03-27</v>
      </c>
      <c r="H4" s="1" t="str">
        <f>Pipeline_Control!AI4</f>
        <v>Converted/Partially Converted</v>
      </c>
      <c r="I4" s="1" t="str">
        <f>Pipeline_Control!AJ4</f>
        <v>Not Eligible - SO Mapping Review</v>
      </c>
      <c r="J4" s="1" t="str">
        <f>Pipeline_Control!AK4</f>
        <v>N</v>
      </c>
      <c r="K4" s="5">
        <f>Pipeline_Control!AL4</f>
        <v>0</v>
      </c>
      <c r="L4" s="5" t="str">
        <f>Pipeline_Control!AM4</f>
        <v>Y</v>
      </c>
      <c r="M4" s="5">
        <f>Pipeline_Control!AN4</f>
        <v>1500000</v>
      </c>
      <c r="N4" s="1" t="str">
        <f>Pipeline_Control!AO4</f>
        <v>SO mapping must be resolved</v>
      </c>
    </row>
    <row r="5" spans="1:14" ht="56">
      <c r="A5" s="1" t="str">
        <f>Pipeline_Control!B5</f>
        <v>DPS-0006</v>
      </c>
      <c r="B5" s="1" t="str">
        <f>Pipeline_Control!D5</f>
        <v>SDJ</v>
      </c>
      <c r="C5" s="1" t="str">
        <f>Pipeline_Control!G5</f>
        <v>Danny Park</v>
      </c>
      <c r="D5" s="5">
        <f>Pipeline_Control!K5</f>
        <v>1150000</v>
      </c>
      <c r="E5" s="4" t="str">
        <f>Pipeline_Control!J5</f>
        <v>2026-01-15</v>
      </c>
      <c r="F5" s="4" t="str">
        <f>Pipeline_Control!X5</f>
        <v>2026-01-15</v>
      </c>
      <c r="G5" s="4" t="str">
        <f>Pipeline_Control!Y5</f>
        <v>2026-02-14</v>
      </c>
      <c r="H5" s="1" t="str">
        <f>Pipeline_Control!AI5</f>
        <v>Converted/Partially Converted</v>
      </c>
      <c r="I5" s="1" t="str">
        <f>Pipeline_Control!AJ5</f>
        <v>Not Eligible - SO Mapping Review</v>
      </c>
      <c r="J5" s="1" t="str">
        <f>Pipeline_Control!AK5</f>
        <v>N</v>
      </c>
      <c r="K5" s="5">
        <f>Pipeline_Control!AL5</f>
        <v>0</v>
      </c>
      <c r="L5" s="5" t="str">
        <f>Pipeline_Control!AM5</f>
        <v>Y</v>
      </c>
      <c r="M5" s="5">
        <f>Pipeline_Control!AN5</f>
        <v>1150000</v>
      </c>
      <c r="N5" s="1" t="str">
        <f>Pipeline_Control!AO5</f>
        <v>SO mapping must be resolved</v>
      </c>
    </row>
    <row r="6" spans="1:14">
      <c r="A6" s="1" t="str">
        <f>Pipeline_Control!B6</f>
        <v>DPS-0007</v>
      </c>
      <c r="B6" s="1" t="str">
        <f>Pipeline_Control!D6</f>
        <v>SDJ</v>
      </c>
      <c r="C6" s="1" t="str">
        <f>Pipeline_Control!G6</f>
        <v>Danny Park</v>
      </c>
      <c r="D6" s="5">
        <f>Pipeline_Control!K6</f>
        <v>1100000</v>
      </c>
      <c r="E6" s="4">
        <f>Pipeline_Control!J6</f>
        <v>0</v>
      </c>
      <c r="F6" s="4">
        <f>Pipeline_Control!X6</f>
        <v>0</v>
      </c>
      <c r="G6" s="4">
        <f>Pipeline_Control!Y6</f>
        <v>0</v>
      </c>
      <c r="H6" s="1" t="str">
        <f>Pipeline_Control!AI6</f>
        <v>Watchlist</v>
      </c>
      <c r="I6" s="1" t="str">
        <f>Pipeline_Control!AJ6</f>
        <v>Scenario Only - No Close Date</v>
      </c>
      <c r="J6" s="1" t="str">
        <f>Pipeline_Control!AK6</f>
        <v>N</v>
      </c>
      <c r="K6" s="5">
        <f>Pipeline_Control!AL6</f>
        <v>0</v>
      </c>
      <c r="L6" s="5" t="str">
        <f>Pipeline_Control!AM6</f>
        <v>N</v>
      </c>
      <c r="M6" s="5">
        <f>Pipeline_Control!AN6</f>
        <v>1100000</v>
      </c>
      <c r="N6" s="1" t="str">
        <f>Pipeline_Control!AO6</f>
        <v>No expected close date</v>
      </c>
    </row>
    <row r="7" spans="1:14">
      <c r="A7" s="1" t="str">
        <f>Pipeline_Control!B7</f>
        <v>DPS-0009</v>
      </c>
      <c r="B7" s="1" t="str">
        <f>Pipeline_Control!D7</f>
        <v>SDJ</v>
      </c>
      <c r="C7" s="1" t="str">
        <f>Pipeline_Control!G7</f>
        <v>Danny Park</v>
      </c>
      <c r="D7" s="5">
        <f>Pipeline_Control!K7</f>
        <v>500000</v>
      </c>
      <c r="E7" s="4">
        <f>Pipeline_Control!J7</f>
        <v>0</v>
      </c>
      <c r="F7" s="4">
        <f>Pipeline_Control!X7</f>
        <v>0</v>
      </c>
      <c r="G7" s="4">
        <f>Pipeline_Control!Y7</f>
        <v>0</v>
      </c>
      <c r="H7" s="1" t="str">
        <f>Pipeline_Control!AI7</f>
        <v>Watchlist</v>
      </c>
      <c r="I7" s="1" t="str">
        <f>Pipeline_Control!AJ7</f>
        <v>Scenario Only - No Close Date</v>
      </c>
      <c r="J7" s="1" t="str">
        <f>Pipeline_Control!AK7</f>
        <v>N</v>
      </c>
      <c r="K7" s="5">
        <f>Pipeline_Control!AL7</f>
        <v>0</v>
      </c>
      <c r="L7" s="5" t="str">
        <f>Pipeline_Control!AM7</f>
        <v>N</v>
      </c>
      <c r="M7" s="5">
        <f>Pipeline_Control!AN7</f>
        <v>500000</v>
      </c>
      <c r="N7" s="1" t="str">
        <f>Pipeline_Control!AO7</f>
        <v>No expected close date</v>
      </c>
    </row>
    <row r="8" spans="1:14" ht="56">
      <c r="A8" s="1" t="str">
        <f>Pipeline_Control!B8</f>
        <v>DPS-0011</v>
      </c>
      <c r="B8" s="1" t="str">
        <f>Pipeline_Control!D8</f>
        <v>SDJ</v>
      </c>
      <c r="C8" s="1" t="str">
        <f>Pipeline_Control!G8</f>
        <v>Danny Park</v>
      </c>
      <c r="D8" s="5">
        <f>Pipeline_Control!K8</f>
        <v>500000</v>
      </c>
      <c r="E8" s="4" t="str">
        <f>Pipeline_Control!J8</f>
        <v>2026-04-28</v>
      </c>
      <c r="F8" s="4" t="str">
        <f>Pipeline_Control!X8</f>
        <v>2026-04-28</v>
      </c>
      <c r="G8" s="4" t="str">
        <f>Pipeline_Control!Y8</f>
        <v>2026-05-28</v>
      </c>
      <c r="H8" s="1" t="str">
        <f>Pipeline_Control!AI8</f>
        <v>Converted/Partially Converted</v>
      </c>
      <c r="I8" s="1" t="str">
        <f>Pipeline_Control!AJ8</f>
        <v>Not Eligible - SO Mapping Review</v>
      </c>
      <c r="J8" s="1" t="str">
        <f>Pipeline_Control!AK8</f>
        <v>N</v>
      </c>
      <c r="K8" s="5">
        <f>Pipeline_Control!AL8</f>
        <v>0</v>
      </c>
      <c r="L8" s="5" t="str">
        <f>Pipeline_Control!AM8</f>
        <v>Y</v>
      </c>
      <c r="M8" s="5">
        <f>Pipeline_Control!AN8</f>
        <v>500000</v>
      </c>
      <c r="N8" s="1" t="str">
        <f>Pipeline_Control!AO8</f>
        <v>SO mapping must be resolved</v>
      </c>
    </row>
    <row r="9" spans="1:14" ht="56">
      <c r="A9" s="1" t="str">
        <f>Pipeline_Control!B9</f>
        <v>DPS-0012</v>
      </c>
      <c r="B9" s="1" t="str">
        <f>Pipeline_Control!D9</f>
        <v>TOWER 28</v>
      </c>
      <c r="C9" s="1" t="str">
        <f>Pipeline_Control!G9</f>
        <v>Jackie King</v>
      </c>
      <c r="D9" s="5">
        <f>Pipeline_Control!K9</f>
        <v>275000</v>
      </c>
      <c r="E9" s="4" t="str">
        <f>Pipeline_Control!J9</f>
        <v>2026-02-09</v>
      </c>
      <c r="F9" s="4" t="str">
        <f>Pipeline_Control!X9</f>
        <v>2026-02-09</v>
      </c>
      <c r="G9" s="4" t="str">
        <f>Pipeline_Control!Y9</f>
        <v>2026-03-11</v>
      </c>
      <c r="H9" s="1" t="str">
        <f>Pipeline_Control!AI9</f>
        <v>Converted/Partially Converted</v>
      </c>
      <c r="I9" s="1" t="str">
        <f>Pipeline_Control!AJ9</f>
        <v>Eligible</v>
      </c>
      <c r="J9" s="1" t="str">
        <f>Pipeline_Control!AK9</f>
        <v>Y</v>
      </c>
      <c r="K9" s="5">
        <f>Pipeline_Control!AL9</f>
        <v>280000</v>
      </c>
      <c r="L9" s="5" t="str">
        <f>Pipeline_Control!AM9</f>
        <v>N</v>
      </c>
      <c r="M9" s="5">
        <f>Pipeline_Control!AN9</f>
        <v>0</v>
      </c>
      <c r="N9" s="1" t="str">
        <f>Pipeline_Control!AO9</f>
        <v>Cash eligible</v>
      </c>
    </row>
    <row r="10" spans="1:14" ht="56">
      <c r="A10" s="1" t="str">
        <f>Pipeline_Control!B10</f>
        <v>DPS-0013</v>
      </c>
      <c r="B10" s="1" t="str">
        <f>Pipeline_Control!D10</f>
        <v>RO</v>
      </c>
      <c r="C10" s="1" t="str">
        <f>Pipeline_Control!G10</f>
        <v>Jing Santos</v>
      </c>
      <c r="D10" s="5">
        <f>Pipeline_Control!K10</f>
        <v>300000</v>
      </c>
      <c r="E10" s="4" t="str">
        <f>Pipeline_Control!J10</f>
        <v>2026-01-08</v>
      </c>
      <c r="F10" s="4" t="str">
        <f>Pipeline_Control!X10</f>
        <v>2026-01-08</v>
      </c>
      <c r="G10" s="4" t="str">
        <f>Pipeline_Control!Y10</f>
        <v>2026-02-07</v>
      </c>
      <c r="H10" s="1" t="str">
        <f>Pipeline_Control!AI10</f>
        <v>Converted/Partially Converted</v>
      </c>
      <c r="I10" s="1" t="str">
        <f>Pipeline_Control!AJ10</f>
        <v>Not Eligible - SO Mapping Review</v>
      </c>
      <c r="J10" s="1" t="str">
        <f>Pipeline_Control!AK10</f>
        <v>N</v>
      </c>
      <c r="K10" s="5">
        <f>Pipeline_Control!AL10</f>
        <v>0</v>
      </c>
      <c r="L10" s="5" t="str">
        <f>Pipeline_Control!AM10</f>
        <v>Y</v>
      </c>
      <c r="M10" s="5">
        <f>Pipeline_Control!AN10</f>
        <v>300000</v>
      </c>
      <c r="N10" s="1" t="str">
        <f>Pipeline_Control!AO10</f>
        <v>SO mapping must be resolved</v>
      </c>
    </row>
    <row r="11" spans="1:14">
      <c r="A11" s="1" t="str">
        <f>Pipeline_Control!B11</f>
        <v>DPS-0014</v>
      </c>
      <c r="B11" s="1" t="str">
        <f>Pipeline_Control!D11</f>
        <v>HAVEN HEALTH</v>
      </c>
      <c r="C11" s="1" t="str">
        <f>Pipeline_Control!G11</f>
        <v>Jackie King</v>
      </c>
      <c r="D11" s="5">
        <f>Pipeline_Control!K11</f>
        <v>340000</v>
      </c>
      <c r="E11" s="4">
        <f>Pipeline_Control!J11</f>
        <v>0</v>
      </c>
      <c r="F11" s="4">
        <f>Pipeline_Control!X11</f>
        <v>0</v>
      </c>
      <c r="G11" s="4">
        <f>Pipeline_Control!Y11</f>
        <v>0</v>
      </c>
      <c r="H11" s="1" t="str">
        <f>Pipeline_Control!AI11</f>
        <v>Watchlist</v>
      </c>
      <c r="I11" s="1" t="str">
        <f>Pipeline_Control!AJ11</f>
        <v>Scenario Only - No Close Date</v>
      </c>
      <c r="J11" s="1" t="str">
        <f>Pipeline_Control!AK11</f>
        <v>N</v>
      </c>
      <c r="K11" s="5">
        <f>Pipeline_Control!AL11</f>
        <v>0</v>
      </c>
      <c r="L11" s="5" t="str">
        <f>Pipeline_Control!AM11</f>
        <v>N</v>
      </c>
      <c r="M11" s="5">
        <f>Pipeline_Control!AN11</f>
        <v>340000</v>
      </c>
      <c r="N11" s="1" t="str">
        <f>Pipeline_Control!AO11</f>
        <v>No expected close date</v>
      </c>
    </row>
    <row r="12" spans="1:14">
      <c r="A12" s="1" t="str">
        <f>Pipeline_Control!B12</f>
        <v>DPS-0015</v>
      </c>
      <c r="B12" s="1" t="str">
        <f>Pipeline_Control!D12</f>
        <v>SDJ</v>
      </c>
      <c r="C12" s="1" t="str">
        <f>Pipeline_Control!G12</f>
        <v>Danny Park</v>
      </c>
      <c r="D12" s="5">
        <f>Pipeline_Control!K12</f>
        <v>300000</v>
      </c>
      <c r="E12" s="4">
        <f>Pipeline_Control!J12</f>
        <v>0</v>
      </c>
      <c r="F12" s="4">
        <f>Pipeline_Control!X12</f>
        <v>0</v>
      </c>
      <c r="G12" s="4">
        <f>Pipeline_Control!Y12</f>
        <v>0</v>
      </c>
      <c r="H12" s="1" t="str">
        <f>Pipeline_Control!AI12</f>
        <v>Watchlist</v>
      </c>
      <c r="I12" s="1" t="str">
        <f>Pipeline_Control!AJ12</f>
        <v>Scenario Only - No Close Date</v>
      </c>
      <c r="J12" s="1" t="str">
        <f>Pipeline_Control!AK12</f>
        <v>N</v>
      </c>
      <c r="K12" s="5">
        <f>Pipeline_Control!AL12</f>
        <v>0</v>
      </c>
      <c r="L12" s="5" t="str">
        <f>Pipeline_Control!AM12</f>
        <v>N</v>
      </c>
      <c r="M12" s="5">
        <f>Pipeline_Control!AN12</f>
        <v>300000</v>
      </c>
      <c r="N12" s="1" t="str">
        <f>Pipeline_Control!AO12</f>
        <v>No expected close date</v>
      </c>
    </row>
    <row r="13" spans="1:14">
      <c r="A13" s="1" t="str">
        <f>Pipeline_Control!B13</f>
        <v>DPS-0016</v>
      </c>
      <c r="B13" s="1" t="str">
        <f>Pipeline_Control!D13</f>
        <v>PATTERN</v>
      </c>
      <c r="C13" s="1" t="str">
        <f>Pipeline_Control!G13</f>
        <v>Jing Santos</v>
      </c>
      <c r="D13" s="5">
        <f>Pipeline_Control!K13</f>
        <v>300000</v>
      </c>
      <c r="E13" s="4">
        <f>Pipeline_Control!J13</f>
        <v>0</v>
      </c>
      <c r="F13" s="4">
        <f>Pipeline_Control!X13</f>
        <v>0</v>
      </c>
      <c r="G13" s="4">
        <f>Pipeline_Control!Y13</f>
        <v>0</v>
      </c>
      <c r="H13" s="1" t="str">
        <f>Pipeline_Control!AI13</f>
        <v>Watchlist</v>
      </c>
      <c r="I13" s="1" t="str">
        <f>Pipeline_Control!AJ13</f>
        <v>Scenario Only - No Close Date</v>
      </c>
      <c r="J13" s="1" t="str">
        <f>Pipeline_Control!AK13</f>
        <v>N</v>
      </c>
      <c r="K13" s="5">
        <f>Pipeline_Control!AL13</f>
        <v>0</v>
      </c>
      <c r="L13" s="5" t="str">
        <f>Pipeline_Control!AM13</f>
        <v>N</v>
      </c>
      <c r="M13" s="5">
        <f>Pipeline_Control!AN13</f>
        <v>300000</v>
      </c>
      <c r="N13" s="1" t="str">
        <f>Pipeline_Control!AO13</f>
        <v>No expected close date</v>
      </c>
    </row>
    <row r="14" spans="1:14" ht="56">
      <c r="A14" s="1" t="str">
        <f>Pipeline_Control!B14</f>
        <v>DPS-0017</v>
      </c>
      <c r="B14" s="1" t="str">
        <f>Pipeline_Control!D14</f>
        <v>DRSQ</v>
      </c>
      <c r="C14" s="1" t="str">
        <f>Pipeline_Control!G14</f>
        <v>Danny Park</v>
      </c>
      <c r="D14" s="5">
        <f>Pipeline_Control!K14</f>
        <v>241000</v>
      </c>
      <c r="E14" s="4" t="str">
        <f>Pipeline_Control!J14</f>
        <v>2026-05-13</v>
      </c>
      <c r="F14" s="4" t="str">
        <f>Pipeline_Control!X14</f>
        <v>2026-05-13</v>
      </c>
      <c r="G14" s="4" t="str">
        <f>Pipeline_Control!Y14</f>
        <v>2026-06-12</v>
      </c>
      <c r="H14" s="1" t="str">
        <f>Pipeline_Control!AI14</f>
        <v>Converted/Partially Converted</v>
      </c>
      <c r="I14" s="1" t="str">
        <f>Pipeline_Control!AJ14</f>
        <v>Eligible</v>
      </c>
      <c r="J14" s="1" t="str">
        <f>Pipeline_Control!AK14</f>
        <v>Y</v>
      </c>
      <c r="K14" s="5">
        <f>Pipeline_Control!AL14</f>
        <v>104760</v>
      </c>
      <c r="L14" s="5" t="str">
        <f>Pipeline_Control!AM14</f>
        <v>N</v>
      </c>
      <c r="M14" s="5">
        <f>Pipeline_Control!AN14</f>
        <v>136240</v>
      </c>
      <c r="N14" s="1" t="str">
        <f>Pipeline_Control!AO14</f>
        <v>Cash eligible</v>
      </c>
    </row>
    <row r="15" spans="1:14" ht="56">
      <c r="A15" s="1" t="str">
        <f>Pipeline_Control!B15</f>
        <v>DPS-0018</v>
      </c>
      <c r="B15" s="1" t="str">
        <f>Pipeline_Control!D15</f>
        <v>RO</v>
      </c>
      <c r="C15" s="1" t="str">
        <f>Pipeline_Control!G15</f>
        <v>Jing Santos</v>
      </c>
      <c r="D15" s="5">
        <f>Pipeline_Control!K15</f>
        <v>200000</v>
      </c>
      <c r="E15" s="4" t="str">
        <f>Pipeline_Control!J15</f>
        <v>2026-04-16</v>
      </c>
      <c r="F15" s="4" t="str">
        <f>Pipeline_Control!X15</f>
        <v>2026-04-16</v>
      </c>
      <c r="G15" s="4" t="str">
        <f>Pipeline_Control!Y15</f>
        <v>2026-05-16</v>
      </c>
      <c r="H15" s="1" t="str">
        <f>Pipeline_Control!AI15</f>
        <v>Converted/Partially Converted</v>
      </c>
      <c r="I15" s="1" t="str">
        <f>Pipeline_Control!AJ15</f>
        <v>Eligible</v>
      </c>
      <c r="J15" s="1" t="str">
        <f>Pipeline_Control!AK15</f>
        <v>Y</v>
      </c>
      <c r="K15" s="5">
        <f>Pipeline_Control!AL15</f>
        <v>88161</v>
      </c>
      <c r="L15" s="5" t="str">
        <f>Pipeline_Control!AM15</f>
        <v>N</v>
      </c>
      <c r="M15" s="5">
        <f>Pipeline_Control!AN15</f>
        <v>111839</v>
      </c>
      <c r="N15" s="1" t="str">
        <f>Pipeline_Control!AO15</f>
        <v>Cash eligible</v>
      </c>
    </row>
    <row r="16" spans="1:14">
      <c r="A16" s="1" t="str">
        <f>Pipeline_Control!B16</f>
        <v>DPS-0019</v>
      </c>
      <c r="B16" s="1" t="str">
        <f>Pipeline_Control!D16</f>
        <v>RO</v>
      </c>
      <c r="C16" s="1" t="str">
        <f>Pipeline_Control!G16</f>
        <v>Jing Santos</v>
      </c>
      <c r="D16" s="5">
        <f>Pipeline_Control!K16</f>
        <v>200000</v>
      </c>
      <c r="E16" s="4">
        <f>Pipeline_Control!J16</f>
        <v>0</v>
      </c>
      <c r="F16" s="4">
        <f>Pipeline_Control!X16</f>
        <v>0</v>
      </c>
      <c r="G16" s="4">
        <f>Pipeline_Control!Y16</f>
        <v>0</v>
      </c>
      <c r="H16" s="1" t="str">
        <f>Pipeline_Control!AI16</f>
        <v>Watchlist</v>
      </c>
      <c r="I16" s="1" t="str">
        <f>Pipeline_Control!AJ16</f>
        <v>Scenario Only - No Close Date</v>
      </c>
      <c r="J16" s="1" t="str">
        <f>Pipeline_Control!AK16</f>
        <v>N</v>
      </c>
      <c r="K16" s="5">
        <f>Pipeline_Control!AL16</f>
        <v>0</v>
      </c>
      <c r="L16" s="5" t="str">
        <f>Pipeline_Control!AM16</f>
        <v>N</v>
      </c>
      <c r="M16" s="5">
        <f>Pipeline_Control!AN16</f>
        <v>200000</v>
      </c>
      <c r="N16" s="1" t="str">
        <f>Pipeline_Control!AO16</f>
        <v>No expected close date</v>
      </c>
    </row>
    <row r="17" spans="1:14">
      <c r="A17" s="1" t="str">
        <f>Pipeline_Control!B17</f>
        <v>DPS-0020</v>
      </c>
      <c r="B17" s="1" t="str">
        <f>Pipeline_Control!D17</f>
        <v>PATTERN</v>
      </c>
      <c r="C17" s="1" t="str">
        <f>Pipeline_Control!G17</f>
        <v>Jing Santos</v>
      </c>
      <c r="D17" s="5">
        <f>Pipeline_Control!K17</f>
        <v>300000</v>
      </c>
      <c r="E17" s="4">
        <f>Pipeline_Control!J17</f>
        <v>0</v>
      </c>
      <c r="F17" s="4">
        <f>Pipeline_Control!X17</f>
        <v>0</v>
      </c>
      <c r="G17" s="4">
        <f>Pipeline_Control!Y17</f>
        <v>0</v>
      </c>
      <c r="H17" s="1" t="str">
        <f>Pipeline_Control!AI17</f>
        <v>Watchlist</v>
      </c>
      <c r="I17" s="1" t="str">
        <f>Pipeline_Control!AJ17</f>
        <v>Scenario Only - No Close Date</v>
      </c>
      <c r="J17" s="1" t="str">
        <f>Pipeline_Control!AK17</f>
        <v>N</v>
      </c>
      <c r="K17" s="5">
        <f>Pipeline_Control!AL17</f>
        <v>0</v>
      </c>
      <c r="L17" s="5" t="str">
        <f>Pipeline_Control!AM17</f>
        <v>N</v>
      </c>
      <c r="M17" s="5">
        <f>Pipeline_Control!AN17</f>
        <v>300000</v>
      </c>
      <c r="N17" s="1" t="str">
        <f>Pipeline_Control!AO17</f>
        <v>No expected close date</v>
      </c>
    </row>
    <row r="18" spans="1:14" ht="56">
      <c r="A18" s="1" t="str">
        <f>Pipeline_Control!B18</f>
        <v>DPS-0022</v>
      </c>
      <c r="B18" s="1" t="str">
        <f>Pipeline_Control!D18</f>
        <v>SWW</v>
      </c>
      <c r="C18" s="1" t="str">
        <f>Pipeline_Control!G18</f>
        <v>Jackie King</v>
      </c>
      <c r="D18" s="5">
        <f>Pipeline_Control!K18</f>
        <v>135000</v>
      </c>
      <c r="E18" s="4" t="str">
        <f>Pipeline_Control!J18</f>
        <v>2026-05-15</v>
      </c>
      <c r="F18" s="4" t="str">
        <f>Pipeline_Control!X18</f>
        <v>2026-05-15</v>
      </c>
      <c r="G18" s="4" t="str">
        <f>Pipeline_Control!Y18</f>
        <v>2026-06-14</v>
      </c>
      <c r="H18" s="1" t="str">
        <f>Pipeline_Control!AI18</f>
        <v>Converted/Partially Converted</v>
      </c>
      <c r="I18" s="1" t="str">
        <f>Pipeline_Control!AJ18</f>
        <v>Eligible</v>
      </c>
      <c r="J18" s="1" t="str">
        <f>Pipeline_Control!AK18</f>
        <v>Y</v>
      </c>
      <c r="K18" s="5">
        <f>Pipeline_Control!AL18</f>
        <v>69832</v>
      </c>
      <c r="L18" s="5" t="str">
        <f>Pipeline_Control!AM18</f>
        <v>N</v>
      </c>
      <c r="M18" s="5">
        <f>Pipeline_Control!AN18</f>
        <v>65168</v>
      </c>
      <c r="N18" s="1" t="str">
        <f>Pipeline_Control!AO18</f>
        <v>Cash eligible</v>
      </c>
    </row>
    <row r="19" spans="1:14">
      <c r="A19" s="1" t="str">
        <f>Pipeline_Control!B19</f>
        <v>DPS-0023</v>
      </c>
      <c r="B19" s="1" t="str">
        <f>Pipeline_Control!D19</f>
        <v>SWW</v>
      </c>
      <c r="C19" s="1" t="str">
        <f>Pipeline_Control!G19</f>
        <v>Jackie King</v>
      </c>
      <c r="D19" s="5">
        <f>Pipeline_Control!K19</f>
        <v>135000</v>
      </c>
      <c r="E19" s="4">
        <f>Pipeline_Control!J19</f>
        <v>0</v>
      </c>
      <c r="F19" s="4">
        <f>Pipeline_Control!X19</f>
        <v>0</v>
      </c>
      <c r="G19" s="4">
        <f>Pipeline_Control!Y19</f>
        <v>0</v>
      </c>
      <c r="H19" s="1" t="str">
        <f>Pipeline_Control!AI19</f>
        <v>Watchlist</v>
      </c>
      <c r="I19" s="1" t="str">
        <f>Pipeline_Control!AJ19</f>
        <v>Scenario Only - No Close Date</v>
      </c>
      <c r="J19" s="1" t="str">
        <f>Pipeline_Control!AK19</f>
        <v>N</v>
      </c>
      <c r="K19" s="5">
        <f>Pipeline_Control!AL19</f>
        <v>0</v>
      </c>
      <c r="L19" s="5" t="str">
        <f>Pipeline_Control!AM19</f>
        <v>N</v>
      </c>
      <c r="M19" s="5">
        <f>Pipeline_Control!AN19</f>
        <v>135000</v>
      </c>
      <c r="N19" s="1" t="str">
        <f>Pipeline_Control!AO19</f>
        <v>No expected close date</v>
      </c>
    </row>
    <row r="20" spans="1:14" ht="56">
      <c r="A20" s="1" t="str">
        <f>Pipeline_Control!B20</f>
        <v>DPS-0024</v>
      </c>
      <c r="B20" s="1" t="str">
        <f>Pipeline_Control!D20</f>
        <v>CIRQADIAN</v>
      </c>
      <c r="C20" s="1" t="str">
        <f>Pipeline_Control!G20</f>
        <v>Danny Park</v>
      </c>
      <c r="D20" s="5">
        <f>Pipeline_Control!K20</f>
        <v>120000</v>
      </c>
      <c r="E20" s="4" t="str">
        <f>Pipeline_Control!J20</f>
        <v>2026-03-25</v>
      </c>
      <c r="F20" s="4" t="str">
        <f>Pipeline_Control!X20</f>
        <v>2026-03-25</v>
      </c>
      <c r="G20" s="4" t="str">
        <f>Pipeline_Control!Y20</f>
        <v>2026-04-24</v>
      </c>
      <c r="H20" s="1" t="str">
        <f>Pipeline_Control!AI20</f>
        <v>Converted/Partially Converted</v>
      </c>
      <c r="I20" s="1" t="str">
        <f>Pipeline_Control!AJ20</f>
        <v>Not Eligible - SO Mapping Review</v>
      </c>
      <c r="J20" s="1" t="str">
        <f>Pipeline_Control!AK20</f>
        <v>N</v>
      </c>
      <c r="K20" s="5">
        <f>Pipeline_Control!AL20</f>
        <v>0</v>
      </c>
      <c r="L20" s="5" t="str">
        <f>Pipeline_Control!AM20</f>
        <v>Y</v>
      </c>
      <c r="M20" s="5">
        <f>Pipeline_Control!AN20</f>
        <v>120000</v>
      </c>
      <c r="N20" s="1" t="str">
        <f>Pipeline_Control!AO20</f>
        <v>SO mapping must be resolved</v>
      </c>
    </row>
    <row r="21" spans="1:14" ht="56">
      <c r="A21" s="1" t="str">
        <f>Pipeline_Control!B21</f>
        <v>DPS-0025</v>
      </c>
      <c r="B21" s="1" t="str">
        <f>Pipeline_Control!D21</f>
        <v>DRSQ</v>
      </c>
      <c r="C21" s="1" t="str">
        <f>Pipeline_Control!G21</f>
        <v>Danny Park</v>
      </c>
      <c r="D21" s="5">
        <f>Pipeline_Control!K21</f>
        <v>149215</v>
      </c>
      <c r="E21" s="4" t="str">
        <f>Pipeline_Control!J21</f>
        <v>2026-01-16</v>
      </c>
      <c r="F21" s="4" t="str">
        <f>Pipeline_Control!X21</f>
        <v>2026-01-16</v>
      </c>
      <c r="G21" s="4" t="str">
        <f>Pipeline_Control!Y21</f>
        <v>2026-02-15</v>
      </c>
      <c r="H21" s="1" t="str">
        <f>Pipeline_Control!AI21</f>
        <v>Converted/Partially Converted</v>
      </c>
      <c r="I21" s="1" t="str">
        <f>Pipeline_Control!AJ21</f>
        <v>Eligible</v>
      </c>
      <c r="J21" s="1" t="str">
        <f>Pipeline_Control!AK21</f>
        <v>Y</v>
      </c>
      <c r="K21" s="5">
        <f>Pipeline_Control!AL21</f>
        <v>149215</v>
      </c>
      <c r="L21" s="5" t="str">
        <f>Pipeline_Control!AM21</f>
        <v>N</v>
      </c>
      <c r="M21" s="5">
        <f>Pipeline_Control!AN21</f>
        <v>0</v>
      </c>
      <c r="N21" s="1" t="str">
        <f>Pipeline_Control!AO21</f>
        <v>Cash eligible</v>
      </c>
    </row>
    <row r="22" spans="1:14">
      <c r="A22" s="1" t="str">
        <f>Pipeline_Control!B22</f>
        <v>DPS-0026</v>
      </c>
      <c r="B22" s="1" t="str">
        <f>Pipeline_Control!D22</f>
        <v>TEVIS</v>
      </c>
      <c r="C22" s="1" t="str">
        <f>Pipeline_Control!G22</f>
        <v>Jackie King</v>
      </c>
      <c r="D22" s="5">
        <f>Pipeline_Control!K22</f>
        <v>200000</v>
      </c>
      <c r="E22" s="4">
        <f>Pipeline_Control!J22</f>
        <v>0</v>
      </c>
      <c r="F22" s="4">
        <f>Pipeline_Control!X22</f>
        <v>0</v>
      </c>
      <c r="G22" s="4">
        <f>Pipeline_Control!Y22</f>
        <v>0</v>
      </c>
      <c r="H22" s="1" t="str">
        <f>Pipeline_Control!AI22</f>
        <v>Watchlist</v>
      </c>
      <c r="I22" s="1" t="str">
        <f>Pipeline_Control!AJ22</f>
        <v>Scenario Only - No Close Date</v>
      </c>
      <c r="J22" s="1" t="str">
        <f>Pipeline_Control!AK22</f>
        <v>N</v>
      </c>
      <c r="K22" s="5">
        <f>Pipeline_Control!AL22</f>
        <v>0</v>
      </c>
      <c r="L22" s="5" t="str">
        <f>Pipeline_Control!AM22</f>
        <v>N</v>
      </c>
      <c r="M22" s="5">
        <f>Pipeline_Control!AN22</f>
        <v>200000</v>
      </c>
      <c r="N22" s="1" t="str">
        <f>Pipeline_Control!AO22</f>
        <v>No expected close date</v>
      </c>
    </row>
    <row r="23" spans="1:14" ht="56">
      <c r="A23" s="1" t="str">
        <f>Pipeline_Control!B23</f>
        <v>DPS-0027</v>
      </c>
      <c r="B23" s="1" t="str">
        <f>Pipeline_Control!D23</f>
        <v>BRAIN MD</v>
      </c>
      <c r="C23" s="1" t="str">
        <f>Pipeline_Control!G23</f>
        <v>Jackie King</v>
      </c>
      <c r="D23" s="5">
        <f>Pipeline_Control!K23</f>
        <v>100000</v>
      </c>
      <c r="E23" s="4" t="str">
        <f>Pipeline_Control!J23</f>
        <v>2026-01-01</v>
      </c>
      <c r="F23" s="4" t="str">
        <f>Pipeline_Control!X23</f>
        <v>2026-01-01</v>
      </c>
      <c r="G23" s="4" t="str">
        <f>Pipeline_Control!Y23</f>
        <v>2026-01-31</v>
      </c>
      <c r="H23" s="1" t="str">
        <f>Pipeline_Control!AI23</f>
        <v>Converted/Partially Converted</v>
      </c>
      <c r="I23" s="1" t="str">
        <f>Pipeline_Control!AJ23</f>
        <v>Not Eligible - SO Mapping Review</v>
      </c>
      <c r="J23" s="1" t="str">
        <f>Pipeline_Control!AK23</f>
        <v>N</v>
      </c>
      <c r="K23" s="5">
        <f>Pipeline_Control!AL23</f>
        <v>0</v>
      </c>
      <c r="L23" s="5" t="str">
        <f>Pipeline_Control!AM23</f>
        <v>Y</v>
      </c>
      <c r="M23" s="5">
        <f>Pipeline_Control!AN23</f>
        <v>100000</v>
      </c>
      <c r="N23" s="1" t="str">
        <f>Pipeline_Control!AO23</f>
        <v>SO mapping must be resolved</v>
      </c>
    </row>
    <row r="24" spans="1:14">
      <c r="A24" s="1" t="str">
        <f>Pipeline_Control!B24</f>
        <v>DPS-0028</v>
      </c>
      <c r="B24" s="1" t="str">
        <f>Pipeline_Control!D24</f>
        <v>BRAIN MD</v>
      </c>
      <c r="C24" s="1" t="str">
        <f>Pipeline_Control!G24</f>
        <v>Jackie King</v>
      </c>
      <c r="D24" s="5">
        <f>Pipeline_Control!K24</f>
        <v>100000</v>
      </c>
      <c r="E24" s="4">
        <f>Pipeline_Control!J24</f>
        <v>0</v>
      </c>
      <c r="F24" s="4">
        <f>Pipeline_Control!X24</f>
        <v>0</v>
      </c>
      <c r="G24" s="4">
        <f>Pipeline_Control!Y24</f>
        <v>0</v>
      </c>
      <c r="H24" s="1" t="str">
        <f>Pipeline_Control!AI24</f>
        <v>Watchlist</v>
      </c>
      <c r="I24" s="1" t="str">
        <f>Pipeline_Control!AJ24</f>
        <v>Scenario Only - No Close Date</v>
      </c>
      <c r="J24" s="1" t="str">
        <f>Pipeline_Control!AK24</f>
        <v>N</v>
      </c>
      <c r="K24" s="5">
        <f>Pipeline_Control!AL24</f>
        <v>0</v>
      </c>
      <c r="L24" s="5" t="str">
        <f>Pipeline_Control!AM24</f>
        <v>N</v>
      </c>
      <c r="M24" s="5">
        <f>Pipeline_Control!AN24</f>
        <v>100000</v>
      </c>
      <c r="N24" s="1" t="str">
        <f>Pipeline_Control!AO24</f>
        <v>No expected close date</v>
      </c>
    </row>
    <row r="25" spans="1:14">
      <c r="A25" s="1" t="str">
        <f>Pipeline_Control!B25</f>
        <v>DPS-0029</v>
      </c>
      <c r="B25" s="1" t="str">
        <f>Pipeline_Control!D25</f>
        <v>PATTERN</v>
      </c>
      <c r="C25" s="1" t="str">
        <f>Pipeline_Control!G25</f>
        <v>Jing Santos</v>
      </c>
      <c r="D25" s="5">
        <f>Pipeline_Control!K25</f>
        <v>90000</v>
      </c>
      <c r="E25" s="4">
        <f>Pipeline_Control!J25</f>
        <v>0</v>
      </c>
      <c r="F25" s="4">
        <f>Pipeline_Control!X25</f>
        <v>0</v>
      </c>
      <c r="G25" s="4">
        <f>Pipeline_Control!Y25</f>
        <v>0</v>
      </c>
      <c r="H25" s="1" t="str">
        <f>Pipeline_Control!AI25</f>
        <v>Watchlist</v>
      </c>
      <c r="I25" s="1" t="str">
        <f>Pipeline_Control!AJ25</f>
        <v>Scenario Only - No Close Date</v>
      </c>
      <c r="J25" s="1" t="str">
        <f>Pipeline_Control!AK25</f>
        <v>N</v>
      </c>
      <c r="K25" s="5">
        <f>Pipeline_Control!AL25</f>
        <v>0</v>
      </c>
      <c r="L25" s="5" t="str">
        <f>Pipeline_Control!AM25</f>
        <v>N</v>
      </c>
      <c r="M25" s="5">
        <f>Pipeline_Control!AN25</f>
        <v>90000</v>
      </c>
      <c r="N25" s="1" t="str">
        <f>Pipeline_Control!AO25</f>
        <v>No expected close date</v>
      </c>
    </row>
    <row r="26" spans="1:14">
      <c r="A26" s="1" t="str">
        <f>Pipeline_Control!B26</f>
        <v>DPS-0030</v>
      </c>
      <c r="B26" s="1" t="str">
        <f>Pipeline_Control!D26</f>
        <v>PATTERN</v>
      </c>
      <c r="C26" s="1" t="str">
        <f>Pipeline_Control!G26</f>
        <v>Jing Santos</v>
      </c>
      <c r="D26" s="5">
        <f>Pipeline_Control!K26</f>
        <v>90000</v>
      </c>
      <c r="E26" s="4">
        <f>Pipeline_Control!J26</f>
        <v>0</v>
      </c>
      <c r="F26" s="4">
        <f>Pipeline_Control!X26</f>
        <v>0</v>
      </c>
      <c r="G26" s="4">
        <f>Pipeline_Control!Y26</f>
        <v>0</v>
      </c>
      <c r="H26" s="1" t="str">
        <f>Pipeline_Control!AI26</f>
        <v>Watchlist</v>
      </c>
      <c r="I26" s="1" t="str">
        <f>Pipeline_Control!AJ26</f>
        <v>Scenario Only - No Close Date</v>
      </c>
      <c r="J26" s="1" t="str">
        <f>Pipeline_Control!AK26</f>
        <v>N</v>
      </c>
      <c r="K26" s="5">
        <f>Pipeline_Control!AL26</f>
        <v>0</v>
      </c>
      <c r="L26" s="5" t="str">
        <f>Pipeline_Control!AM26</f>
        <v>N</v>
      </c>
      <c r="M26" s="5">
        <f>Pipeline_Control!AN26</f>
        <v>90000</v>
      </c>
      <c r="N26" s="1" t="str">
        <f>Pipeline_Control!AO26</f>
        <v>No expected close date</v>
      </c>
    </row>
    <row r="27" spans="1:14">
      <c r="A27" s="1" t="str">
        <f>Pipeline_Control!B27</f>
        <v>DPS-0031</v>
      </c>
      <c r="B27" s="1" t="str">
        <f>Pipeline_Control!D27</f>
        <v>PATTERN</v>
      </c>
      <c r="C27" s="1" t="str">
        <f>Pipeline_Control!G27</f>
        <v>Jing Santos</v>
      </c>
      <c r="D27" s="5">
        <f>Pipeline_Control!K27</f>
        <v>90000</v>
      </c>
      <c r="E27" s="4">
        <f>Pipeline_Control!J27</f>
        <v>0</v>
      </c>
      <c r="F27" s="4">
        <f>Pipeline_Control!X27</f>
        <v>0</v>
      </c>
      <c r="G27" s="4">
        <f>Pipeline_Control!Y27</f>
        <v>0</v>
      </c>
      <c r="H27" s="1" t="str">
        <f>Pipeline_Control!AI27</f>
        <v>Watchlist</v>
      </c>
      <c r="I27" s="1" t="str">
        <f>Pipeline_Control!AJ27</f>
        <v>Scenario Only - No Close Date</v>
      </c>
      <c r="J27" s="1" t="str">
        <f>Pipeline_Control!AK27</f>
        <v>N</v>
      </c>
      <c r="K27" s="5">
        <f>Pipeline_Control!AL27</f>
        <v>0</v>
      </c>
      <c r="L27" s="5" t="str">
        <f>Pipeline_Control!AM27</f>
        <v>N</v>
      </c>
      <c r="M27" s="5">
        <f>Pipeline_Control!AN27</f>
        <v>90000</v>
      </c>
      <c r="N27" s="1" t="str">
        <f>Pipeline_Control!AO27</f>
        <v>No expected close date</v>
      </c>
    </row>
    <row r="28" spans="1:14" ht="56">
      <c r="A28" s="1" t="str">
        <f>Pipeline_Control!B28</f>
        <v>DPS-0032</v>
      </c>
      <c r="B28" s="1" t="str">
        <f>Pipeline_Control!D28</f>
        <v>I&amp;R</v>
      </c>
      <c r="C28" s="1" t="str">
        <f>Pipeline_Control!G28</f>
        <v>Jing Santos</v>
      </c>
      <c r="D28" s="5">
        <f>Pipeline_Control!K28</f>
        <v>90000</v>
      </c>
      <c r="E28" s="4" t="str">
        <f>Pipeline_Control!J28</f>
        <v>2026-01-01</v>
      </c>
      <c r="F28" s="4" t="str">
        <f>Pipeline_Control!X28</f>
        <v>2026-01-01</v>
      </c>
      <c r="G28" s="4" t="str">
        <f>Pipeline_Control!Y28</f>
        <v>2026-01-31</v>
      </c>
      <c r="H28" s="1" t="str">
        <f>Pipeline_Control!AI28</f>
        <v>Converted/Partially Converted</v>
      </c>
      <c r="I28" s="1" t="str">
        <f>Pipeline_Control!AJ28</f>
        <v>Not Eligible - SO Mapping Review</v>
      </c>
      <c r="J28" s="1" t="str">
        <f>Pipeline_Control!AK28</f>
        <v>N</v>
      </c>
      <c r="K28" s="5">
        <f>Pipeline_Control!AL28</f>
        <v>0</v>
      </c>
      <c r="L28" s="5" t="str">
        <f>Pipeline_Control!AM28</f>
        <v>Y</v>
      </c>
      <c r="M28" s="5">
        <f>Pipeline_Control!AN28</f>
        <v>90000</v>
      </c>
      <c r="N28" s="1" t="str">
        <f>Pipeline_Control!AO28</f>
        <v>SO mapping must be resolved</v>
      </c>
    </row>
    <row r="29" spans="1:14">
      <c r="A29" s="1" t="str">
        <f>Pipeline_Control!B29</f>
        <v>DPS-0033</v>
      </c>
      <c r="B29" s="1" t="str">
        <f>Pipeline_Control!D29</f>
        <v>I&amp;R</v>
      </c>
      <c r="C29" s="1" t="str">
        <f>Pipeline_Control!G29</f>
        <v>Jing Santos</v>
      </c>
      <c r="D29" s="5">
        <f>Pipeline_Control!K29</f>
        <v>90000</v>
      </c>
      <c r="E29" s="4">
        <f>Pipeline_Control!J29</f>
        <v>0</v>
      </c>
      <c r="F29" s="4">
        <f>Pipeline_Control!X29</f>
        <v>0</v>
      </c>
      <c r="G29" s="4">
        <f>Pipeline_Control!Y29</f>
        <v>0</v>
      </c>
      <c r="H29" s="1" t="str">
        <f>Pipeline_Control!AI29</f>
        <v>Lost</v>
      </c>
      <c r="I29" s="1" t="str">
        <f>Pipeline_Control!AJ29</f>
        <v>Not Eligible - Lost</v>
      </c>
      <c r="J29" s="1" t="str">
        <f>Pipeline_Control!AK29</f>
        <v>N</v>
      </c>
      <c r="K29" s="5">
        <f>Pipeline_Control!AL29</f>
        <v>0</v>
      </c>
      <c r="L29" s="5" t="str">
        <f>Pipeline_Control!AM29</f>
        <v>N</v>
      </c>
      <c r="M29" s="5">
        <f>Pipeline_Control!AN29</f>
        <v>90000</v>
      </c>
      <c r="N29" s="1" t="str">
        <f>Pipeline_Control!AO29</f>
        <v>No expected close date</v>
      </c>
    </row>
    <row r="30" spans="1:14">
      <c r="A30" s="1" t="str">
        <f>Pipeline_Control!B30</f>
        <v>DPS-0034</v>
      </c>
      <c r="B30" s="1" t="str">
        <f>Pipeline_Control!D30</f>
        <v>I&amp;R</v>
      </c>
      <c r="C30" s="1" t="str">
        <f>Pipeline_Control!G30</f>
        <v>Jing Santos</v>
      </c>
      <c r="D30" s="5">
        <f>Pipeline_Control!K30</f>
        <v>90000</v>
      </c>
      <c r="E30" s="4">
        <f>Pipeline_Control!J30</f>
        <v>0</v>
      </c>
      <c r="F30" s="4">
        <f>Pipeline_Control!X30</f>
        <v>0</v>
      </c>
      <c r="G30" s="4">
        <f>Pipeline_Control!Y30</f>
        <v>0</v>
      </c>
      <c r="H30" s="1" t="str">
        <f>Pipeline_Control!AI30</f>
        <v>Watchlist</v>
      </c>
      <c r="I30" s="1" t="str">
        <f>Pipeline_Control!AJ30</f>
        <v>Scenario Only - No Close Date</v>
      </c>
      <c r="J30" s="1" t="str">
        <f>Pipeline_Control!AK30</f>
        <v>N</v>
      </c>
      <c r="K30" s="5">
        <f>Pipeline_Control!AL30</f>
        <v>0</v>
      </c>
      <c r="L30" s="5" t="str">
        <f>Pipeline_Control!AM30</f>
        <v>N</v>
      </c>
      <c r="M30" s="5">
        <f>Pipeline_Control!AN30</f>
        <v>90000</v>
      </c>
      <c r="N30" s="1" t="str">
        <f>Pipeline_Control!AO30</f>
        <v>No expected close date</v>
      </c>
    </row>
    <row r="31" spans="1:14">
      <c r="A31" s="1" t="str">
        <f>Pipeline_Control!B31</f>
        <v>DPS-0035</v>
      </c>
      <c r="B31" s="1" t="str">
        <f>Pipeline_Control!D31</f>
        <v>I&amp;R</v>
      </c>
      <c r="C31" s="1" t="str">
        <f>Pipeline_Control!G31</f>
        <v>Jing Santos</v>
      </c>
      <c r="D31" s="5">
        <f>Pipeline_Control!K31</f>
        <v>90000</v>
      </c>
      <c r="E31" s="4">
        <f>Pipeline_Control!J31</f>
        <v>0</v>
      </c>
      <c r="F31" s="4">
        <f>Pipeline_Control!X31</f>
        <v>0</v>
      </c>
      <c r="G31" s="4">
        <f>Pipeline_Control!Y31</f>
        <v>0</v>
      </c>
      <c r="H31" s="1" t="str">
        <f>Pipeline_Control!AI31</f>
        <v>Watchlist</v>
      </c>
      <c r="I31" s="1" t="str">
        <f>Pipeline_Control!AJ31</f>
        <v>Scenario Only - No Close Date</v>
      </c>
      <c r="J31" s="1" t="str">
        <f>Pipeline_Control!AK31</f>
        <v>N</v>
      </c>
      <c r="K31" s="5">
        <f>Pipeline_Control!AL31</f>
        <v>0</v>
      </c>
      <c r="L31" s="5" t="str">
        <f>Pipeline_Control!AM31</f>
        <v>N</v>
      </c>
      <c r="M31" s="5">
        <f>Pipeline_Control!AN31</f>
        <v>90000</v>
      </c>
      <c r="N31" s="1" t="str">
        <f>Pipeline_Control!AO31</f>
        <v>No expected close date</v>
      </c>
    </row>
    <row r="32" spans="1:14" ht="56">
      <c r="A32" s="1" t="str">
        <f>Pipeline_Control!B32</f>
        <v>DPS-0036</v>
      </c>
      <c r="B32" s="1" t="str">
        <f>Pipeline_Control!D32</f>
        <v>SWW</v>
      </c>
      <c r="C32" s="1" t="str">
        <f>Pipeline_Control!G32</f>
        <v>Jackie King</v>
      </c>
      <c r="D32" s="5">
        <f>Pipeline_Control!K32</f>
        <v>85000</v>
      </c>
      <c r="E32" s="4" t="str">
        <f>Pipeline_Control!J32</f>
        <v>2026-02-11</v>
      </c>
      <c r="F32" s="4" t="str">
        <f>Pipeline_Control!X32</f>
        <v>2026-02-11</v>
      </c>
      <c r="G32" s="4" t="str">
        <f>Pipeline_Control!Y32</f>
        <v>2026-03-13</v>
      </c>
      <c r="H32" s="1" t="str">
        <f>Pipeline_Control!AI32</f>
        <v>Converted/Partially Converted</v>
      </c>
      <c r="I32" s="1" t="str">
        <f>Pipeline_Control!AJ32</f>
        <v>Eligible</v>
      </c>
      <c r="J32" s="1" t="str">
        <f>Pipeline_Control!AK32</f>
        <v>Y</v>
      </c>
      <c r="K32" s="5">
        <f>Pipeline_Control!AL32</f>
        <v>33908.75</v>
      </c>
      <c r="L32" s="5" t="str">
        <f>Pipeline_Control!AM32</f>
        <v>N</v>
      </c>
      <c r="M32" s="5">
        <f>Pipeline_Control!AN32</f>
        <v>51091.25</v>
      </c>
      <c r="N32" s="1" t="str">
        <f>Pipeline_Control!AO32</f>
        <v>Cash eligible</v>
      </c>
    </row>
    <row r="33" spans="1:14">
      <c r="A33" s="1" t="str">
        <f>Pipeline_Control!B33</f>
        <v>DPS-0037</v>
      </c>
      <c r="B33" s="1" t="str">
        <f>Pipeline_Control!D33</f>
        <v>DRSQ</v>
      </c>
      <c r="C33" s="1" t="str">
        <f>Pipeline_Control!G33</f>
        <v>Danny Park</v>
      </c>
      <c r="D33" s="5">
        <f>Pipeline_Control!K33</f>
        <v>150000</v>
      </c>
      <c r="E33" s="4">
        <f>Pipeline_Control!J33</f>
        <v>0</v>
      </c>
      <c r="F33" s="4">
        <f>Pipeline_Control!X33</f>
        <v>0</v>
      </c>
      <c r="G33" s="4">
        <f>Pipeline_Control!Y33</f>
        <v>0</v>
      </c>
      <c r="H33" s="1" t="str">
        <f>Pipeline_Control!AI33</f>
        <v>Watchlist</v>
      </c>
      <c r="I33" s="1" t="str">
        <f>Pipeline_Control!AJ33</f>
        <v>Scenario Only - No Close Date</v>
      </c>
      <c r="J33" s="1" t="str">
        <f>Pipeline_Control!AK33</f>
        <v>N</v>
      </c>
      <c r="K33" s="5">
        <f>Pipeline_Control!AL33</f>
        <v>0</v>
      </c>
      <c r="L33" s="5" t="str">
        <f>Pipeline_Control!AM33</f>
        <v>N</v>
      </c>
      <c r="M33" s="5">
        <f>Pipeline_Control!AN33</f>
        <v>150000</v>
      </c>
      <c r="N33" s="1" t="str">
        <f>Pipeline_Control!AO33</f>
        <v>No expected close date</v>
      </c>
    </row>
    <row r="34" spans="1:14">
      <c r="A34" s="1" t="str">
        <f>Pipeline_Control!B34</f>
        <v>DPS-0038</v>
      </c>
      <c r="B34" s="1" t="str">
        <f>Pipeline_Control!D34</f>
        <v>GET W</v>
      </c>
      <c r="C34" s="1" t="str">
        <f>Pipeline_Control!G34</f>
        <v>Jing Santos</v>
      </c>
      <c r="D34" s="5">
        <f>Pipeline_Control!K34</f>
        <v>150000</v>
      </c>
      <c r="E34" s="4">
        <f>Pipeline_Control!J34</f>
        <v>0</v>
      </c>
      <c r="F34" s="4">
        <f>Pipeline_Control!X34</f>
        <v>0</v>
      </c>
      <c r="G34" s="4">
        <f>Pipeline_Control!Y34</f>
        <v>0</v>
      </c>
      <c r="H34" s="1" t="str">
        <f>Pipeline_Control!AI34</f>
        <v>Watchlist</v>
      </c>
      <c r="I34" s="1" t="str">
        <f>Pipeline_Control!AJ34</f>
        <v>Scenario Only - No Close Date</v>
      </c>
      <c r="J34" s="1" t="str">
        <f>Pipeline_Control!AK34</f>
        <v>N</v>
      </c>
      <c r="K34" s="5">
        <f>Pipeline_Control!AL34</f>
        <v>0</v>
      </c>
      <c r="L34" s="5" t="str">
        <f>Pipeline_Control!AM34</f>
        <v>N</v>
      </c>
      <c r="M34" s="5">
        <f>Pipeline_Control!AN34</f>
        <v>150000</v>
      </c>
      <c r="N34" s="1" t="str">
        <f>Pipeline_Control!AO34</f>
        <v>No expected close date</v>
      </c>
    </row>
    <row r="35" spans="1:14" ht="56">
      <c r="A35" s="1" t="str">
        <f>Pipeline_Control!B35</f>
        <v>DPS-0039</v>
      </c>
      <c r="B35" s="1" t="str">
        <f>Pipeline_Control!D35</f>
        <v>CECRED</v>
      </c>
      <c r="C35" s="1" t="str">
        <f>Pipeline_Control!G35</f>
        <v>Jackie King</v>
      </c>
      <c r="D35" s="5">
        <f>Pipeline_Control!K35</f>
        <v>75000</v>
      </c>
      <c r="E35" s="4" t="str">
        <f>Pipeline_Control!J35</f>
        <v>2026-05-11</v>
      </c>
      <c r="F35" s="4" t="str">
        <f>Pipeline_Control!X35</f>
        <v>2026-05-11</v>
      </c>
      <c r="G35" s="4" t="str">
        <f>Pipeline_Control!Y35</f>
        <v>2026-06-10</v>
      </c>
      <c r="H35" s="1" t="str">
        <f>Pipeline_Control!AI35</f>
        <v>Converted/Partially Converted</v>
      </c>
      <c r="I35" s="1" t="str">
        <f>Pipeline_Control!AJ35</f>
        <v>Not Eligible - SO Mapping Review</v>
      </c>
      <c r="J35" s="1" t="str">
        <f>Pipeline_Control!AK35</f>
        <v>N</v>
      </c>
      <c r="K35" s="5">
        <f>Pipeline_Control!AL35</f>
        <v>0</v>
      </c>
      <c r="L35" s="5" t="str">
        <f>Pipeline_Control!AM35</f>
        <v>Y</v>
      </c>
      <c r="M35" s="5">
        <f>Pipeline_Control!AN35</f>
        <v>75000</v>
      </c>
      <c r="N35" s="1" t="str">
        <f>Pipeline_Control!AO35</f>
        <v>SO mapping must be resolved</v>
      </c>
    </row>
    <row r="36" spans="1:14">
      <c r="A36" s="1" t="str">
        <f>Pipeline_Control!B36</f>
        <v>DPS-0040</v>
      </c>
      <c r="B36" s="1" t="str">
        <f>Pipeline_Control!D36</f>
        <v>CIRQADIAN</v>
      </c>
      <c r="C36" s="1" t="str">
        <f>Pipeline_Control!G36</f>
        <v>Danny Park</v>
      </c>
      <c r="D36" s="5">
        <f>Pipeline_Control!K36</f>
        <v>120000</v>
      </c>
      <c r="E36" s="4">
        <f>Pipeline_Control!J36</f>
        <v>0</v>
      </c>
      <c r="F36" s="4">
        <f>Pipeline_Control!X36</f>
        <v>0</v>
      </c>
      <c r="G36" s="4">
        <f>Pipeline_Control!Y36</f>
        <v>0</v>
      </c>
      <c r="H36" s="1" t="str">
        <f>Pipeline_Control!AI36</f>
        <v>Watchlist</v>
      </c>
      <c r="I36" s="1" t="str">
        <f>Pipeline_Control!AJ36</f>
        <v>Scenario Only - No Close Date</v>
      </c>
      <c r="J36" s="1" t="str">
        <f>Pipeline_Control!AK36</f>
        <v>N</v>
      </c>
      <c r="K36" s="5">
        <f>Pipeline_Control!AL36</f>
        <v>0</v>
      </c>
      <c r="L36" s="5" t="str">
        <f>Pipeline_Control!AM36</f>
        <v>N</v>
      </c>
      <c r="M36" s="5">
        <f>Pipeline_Control!AN36</f>
        <v>120000</v>
      </c>
      <c r="N36" s="1" t="str">
        <f>Pipeline_Control!AO36</f>
        <v>No expected close date</v>
      </c>
    </row>
    <row r="37" spans="1:14" ht="56">
      <c r="A37" s="1" t="str">
        <f>Pipeline_Control!B37</f>
        <v>DPS-0041</v>
      </c>
      <c r="B37" s="1" t="str">
        <f>Pipeline_Control!D37</f>
        <v>SWW</v>
      </c>
      <c r="C37" s="1" t="str">
        <f>Pipeline_Control!G37</f>
        <v>Jackie King</v>
      </c>
      <c r="D37" s="5">
        <f>Pipeline_Control!K37</f>
        <v>60000</v>
      </c>
      <c r="E37" s="4" t="str">
        <f>Pipeline_Control!J37</f>
        <v>2026-02-25</v>
      </c>
      <c r="F37" s="4" t="str">
        <f>Pipeline_Control!X37</f>
        <v>2026-02-25</v>
      </c>
      <c r="G37" s="4" t="str">
        <f>Pipeline_Control!Y37</f>
        <v>2026-03-27</v>
      </c>
      <c r="H37" s="1" t="str">
        <f>Pipeline_Control!AI37</f>
        <v>Converted/Partially Converted</v>
      </c>
      <c r="I37" s="1" t="str">
        <f>Pipeline_Control!AJ37</f>
        <v>Eligible</v>
      </c>
      <c r="J37" s="1" t="str">
        <f>Pipeline_Control!AK37</f>
        <v>Y</v>
      </c>
      <c r="K37" s="5">
        <f>Pipeline_Control!AL37</f>
        <v>61098</v>
      </c>
      <c r="L37" s="5" t="str">
        <f>Pipeline_Control!AM37</f>
        <v>N</v>
      </c>
      <c r="M37" s="5">
        <f>Pipeline_Control!AN37</f>
        <v>0</v>
      </c>
      <c r="N37" s="1" t="str">
        <f>Pipeline_Control!AO37</f>
        <v>Cash eligible</v>
      </c>
    </row>
    <row r="38" spans="1:14">
      <c r="A38" s="1" t="str">
        <f>Pipeline_Control!B38</f>
        <v>DPS-0042</v>
      </c>
      <c r="B38" s="1" t="str">
        <f>Pipeline_Control!D38</f>
        <v>OUAI</v>
      </c>
      <c r="C38" s="1" t="str">
        <f>Pipeline_Control!G38</f>
        <v>Jing Santos</v>
      </c>
      <c r="D38" s="5">
        <f>Pipeline_Control!K38</f>
        <v>200000</v>
      </c>
      <c r="E38" s="4">
        <f>Pipeline_Control!J38</f>
        <v>0</v>
      </c>
      <c r="F38" s="4">
        <f>Pipeline_Control!X38</f>
        <v>0</v>
      </c>
      <c r="G38" s="4">
        <f>Pipeline_Control!Y38</f>
        <v>0</v>
      </c>
      <c r="H38" s="1" t="str">
        <f>Pipeline_Control!AI38</f>
        <v>Watchlist</v>
      </c>
      <c r="I38" s="1" t="str">
        <f>Pipeline_Control!AJ38</f>
        <v>Scenario Only - No Close Date</v>
      </c>
      <c r="J38" s="1" t="str">
        <f>Pipeline_Control!AK38</f>
        <v>N</v>
      </c>
      <c r="K38" s="5">
        <f>Pipeline_Control!AL38</f>
        <v>0</v>
      </c>
      <c r="L38" s="5" t="str">
        <f>Pipeline_Control!AM38</f>
        <v>N</v>
      </c>
      <c r="M38" s="5">
        <f>Pipeline_Control!AN38</f>
        <v>200000</v>
      </c>
      <c r="N38" s="1" t="str">
        <f>Pipeline_Control!AO38</f>
        <v>No expected close date</v>
      </c>
    </row>
    <row r="39" spans="1:14">
      <c r="A39" s="1" t="str">
        <f>Pipeline_Control!B39</f>
        <v>DPS-0043</v>
      </c>
      <c r="B39" s="1" t="str">
        <f>Pipeline_Control!D39</f>
        <v>BRAIN MD</v>
      </c>
      <c r="C39" s="1" t="str">
        <f>Pipeline_Control!G39</f>
        <v>Jackie King</v>
      </c>
      <c r="D39" s="5">
        <f>Pipeline_Control!K39</f>
        <v>200000</v>
      </c>
      <c r="E39" s="4">
        <f>Pipeline_Control!J39</f>
        <v>0</v>
      </c>
      <c r="F39" s="4">
        <f>Pipeline_Control!X39</f>
        <v>0</v>
      </c>
      <c r="G39" s="4">
        <f>Pipeline_Control!Y39</f>
        <v>0</v>
      </c>
      <c r="H39" s="1" t="str">
        <f>Pipeline_Control!AI39</f>
        <v>Watchlist</v>
      </c>
      <c r="I39" s="1" t="str">
        <f>Pipeline_Control!AJ39</f>
        <v>Scenario Only - No Close Date</v>
      </c>
      <c r="J39" s="1" t="str">
        <f>Pipeline_Control!AK39</f>
        <v>N</v>
      </c>
      <c r="K39" s="5">
        <f>Pipeline_Control!AL39</f>
        <v>0</v>
      </c>
      <c r="L39" s="5" t="str">
        <f>Pipeline_Control!AM39</f>
        <v>N</v>
      </c>
      <c r="M39" s="5">
        <f>Pipeline_Control!AN39</f>
        <v>200000</v>
      </c>
      <c r="N39" s="1" t="str">
        <f>Pipeline_Control!AO39</f>
        <v>No expected close date</v>
      </c>
    </row>
    <row r="40" spans="1:14">
      <c r="A40" s="1" t="str">
        <f>Pipeline_Control!B40</f>
        <v>DPS-0044</v>
      </c>
      <c r="B40" s="1" t="str">
        <f>Pipeline_Control!D40</f>
        <v>MISTR</v>
      </c>
      <c r="C40" s="1" t="str">
        <f>Pipeline_Control!G40</f>
        <v>Jackie King</v>
      </c>
      <c r="D40" s="5">
        <f>Pipeline_Control!K40</f>
        <v>50000</v>
      </c>
      <c r="E40" s="4">
        <f>Pipeline_Control!J40</f>
        <v>0</v>
      </c>
      <c r="F40" s="4">
        <f>Pipeline_Control!X40</f>
        <v>0</v>
      </c>
      <c r="G40" s="4">
        <f>Pipeline_Control!Y40</f>
        <v>0</v>
      </c>
      <c r="H40" s="1" t="str">
        <f>Pipeline_Control!AI40</f>
        <v>Watchlist</v>
      </c>
      <c r="I40" s="1" t="str">
        <f>Pipeline_Control!AJ40</f>
        <v>Scenario Only - No Close Date</v>
      </c>
      <c r="J40" s="1" t="str">
        <f>Pipeline_Control!AK40</f>
        <v>N</v>
      </c>
      <c r="K40" s="5">
        <f>Pipeline_Control!AL40</f>
        <v>0</v>
      </c>
      <c r="L40" s="5" t="str">
        <f>Pipeline_Control!AM40</f>
        <v>N</v>
      </c>
      <c r="M40" s="5">
        <f>Pipeline_Control!AN40</f>
        <v>50000</v>
      </c>
      <c r="N40" s="1" t="str">
        <f>Pipeline_Control!AO40</f>
        <v>No expected close date</v>
      </c>
    </row>
    <row r="41" spans="1:14">
      <c r="A41" s="1" t="str">
        <f>Pipeline_Control!B41</f>
        <v>DPS-0045</v>
      </c>
      <c r="B41" s="1" t="str">
        <f>Pipeline_Control!D41</f>
        <v>MISTR</v>
      </c>
      <c r="C41" s="1" t="str">
        <f>Pipeline_Control!G41</f>
        <v>Jackie King</v>
      </c>
      <c r="D41" s="5">
        <f>Pipeline_Control!K41</f>
        <v>50000</v>
      </c>
      <c r="E41" s="4">
        <f>Pipeline_Control!J41</f>
        <v>0</v>
      </c>
      <c r="F41" s="4">
        <f>Pipeline_Control!X41</f>
        <v>0</v>
      </c>
      <c r="G41" s="4">
        <f>Pipeline_Control!Y41</f>
        <v>0</v>
      </c>
      <c r="H41" s="1" t="str">
        <f>Pipeline_Control!AI41</f>
        <v>Watchlist</v>
      </c>
      <c r="I41" s="1" t="str">
        <f>Pipeline_Control!AJ41</f>
        <v>Scenario Only - No Close Date</v>
      </c>
      <c r="J41" s="1" t="str">
        <f>Pipeline_Control!AK41</f>
        <v>N</v>
      </c>
      <c r="K41" s="5">
        <f>Pipeline_Control!AL41</f>
        <v>0</v>
      </c>
      <c r="L41" s="5" t="str">
        <f>Pipeline_Control!AM41</f>
        <v>N</v>
      </c>
      <c r="M41" s="5">
        <f>Pipeline_Control!AN41</f>
        <v>50000</v>
      </c>
      <c r="N41" s="1" t="str">
        <f>Pipeline_Control!AO41</f>
        <v>No expected close date</v>
      </c>
    </row>
    <row r="42" spans="1:14">
      <c r="A42" s="1" t="str">
        <f>Pipeline_Control!B42</f>
        <v>DPS-0046</v>
      </c>
      <c r="B42" s="1" t="str">
        <f>Pipeline_Control!D42</f>
        <v>MISTR</v>
      </c>
      <c r="C42" s="1" t="str">
        <f>Pipeline_Control!G42</f>
        <v>Jackie King</v>
      </c>
      <c r="D42" s="5">
        <f>Pipeline_Control!K42</f>
        <v>50000</v>
      </c>
      <c r="E42" s="4">
        <f>Pipeline_Control!J42</f>
        <v>0</v>
      </c>
      <c r="F42" s="4">
        <f>Pipeline_Control!X42</f>
        <v>0</v>
      </c>
      <c r="G42" s="4">
        <f>Pipeline_Control!Y42</f>
        <v>0</v>
      </c>
      <c r="H42" s="1" t="str">
        <f>Pipeline_Control!AI42</f>
        <v>Watchlist</v>
      </c>
      <c r="I42" s="1" t="str">
        <f>Pipeline_Control!AJ42</f>
        <v>Scenario Only - No Close Date</v>
      </c>
      <c r="J42" s="1" t="str">
        <f>Pipeline_Control!AK42</f>
        <v>N</v>
      </c>
      <c r="K42" s="5">
        <f>Pipeline_Control!AL42</f>
        <v>0</v>
      </c>
      <c r="L42" s="5" t="str">
        <f>Pipeline_Control!AM42</f>
        <v>N</v>
      </c>
      <c r="M42" s="5">
        <f>Pipeline_Control!AN42</f>
        <v>50000</v>
      </c>
      <c r="N42" s="1" t="str">
        <f>Pipeline_Control!AO42</f>
        <v>No expected close date</v>
      </c>
    </row>
    <row r="43" spans="1:14">
      <c r="A43" s="1" t="str">
        <f>Pipeline_Control!B43</f>
        <v>DPS-0047</v>
      </c>
      <c r="B43" s="1" t="str">
        <f>Pipeline_Control!D43</f>
        <v>MISTR</v>
      </c>
      <c r="C43" s="1" t="str">
        <f>Pipeline_Control!G43</f>
        <v>Jackie King</v>
      </c>
      <c r="D43" s="5">
        <f>Pipeline_Control!K43</f>
        <v>50000</v>
      </c>
      <c r="E43" s="4">
        <f>Pipeline_Control!J43</f>
        <v>0</v>
      </c>
      <c r="F43" s="4">
        <f>Pipeline_Control!X43</f>
        <v>0</v>
      </c>
      <c r="G43" s="4">
        <f>Pipeline_Control!Y43</f>
        <v>0</v>
      </c>
      <c r="H43" s="1" t="str">
        <f>Pipeline_Control!AI43</f>
        <v>Watchlist</v>
      </c>
      <c r="I43" s="1" t="str">
        <f>Pipeline_Control!AJ43</f>
        <v>Scenario Only - No Close Date</v>
      </c>
      <c r="J43" s="1" t="str">
        <f>Pipeline_Control!AK43</f>
        <v>N</v>
      </c>
      <c r="K43" s="5">
        <f>Pipeline_Control!AL43</f>
        <v>0</v>
      </c>
      <c r="L43" s="5" t="str">
        <f>Pipeline_Control!AM43</f>
        <v>N</v>
      </c>
      <c r="M43" s="5">
        <f>Pipeline_Control!AN43</f>
        <v>50000</v>
      </c>
      <c r="N43" s="1" t="str">
        <f>Pipeline_Control!AO43</f>
        <v>No expected close date</v>
      </c>
    </row>
    <row r="44" spans="1:14">
      <c r="A44" s="1" t="str">
        <f>Pipeline_Control!B44</f>
        <v>DPS-0048</v>
      </c>
      <c r="B44" s="1" t="str">
        <f>Pipeline_Control!D44</f>
        <v>OUAI</v>
      </c>
      <c r="C44" s="1" t="str">
        <f>Pipeline_Control!G44</f>
        <v>Jing Santos</v>
      </c>
      <c r="D44" s="5">
        <f>Pipeline_Control!K44</f>
        <v>150000</v>
      </c>
      <c r="E44" s="4">
        <f>Pipeline_Control!J44</f>
        <v>0</v>
      </c>
      <c r="F44" s="4">
        <f>Pipeline_Control!X44</f>
        <v>0</v>
      </c>
      <c r="G44" s="4">
        <f>Pipeline_Control!Y44</f>
        <v>0</v>
      </c>
      <c r="H44" s="1" t="str">
        <f>Pipeline_Control!AI44</f>
        <v>Watchlist</v>
      </c>
      <c r="I44" s="1" t="str">
        <f>Pipeline_Control!AJ44</f>
        <v>Scenario Only - No Close Date</v>
      </c>
      <c r="J44" s="1" t="str">
        <f>Pipeline_Control!AK44</f>
        <v>N</v>
      </c>
      <c r="K44" s="5">
        <f>Pipeline_Control!AL44</f>
        <v>0</v>
      </c>
      <c r="L44" s="5" t="str">
        <f>Pipeline_Control!AM44</f>
        <v>N</v>
      </c>
      <c r="M44" s="5">
        <f>Pipeline_Control!AN44</f>
        <v>150000</v>
      </c>
      <c r="N44" s="1" t="str">
        <f>Pipeline_Control!AO44</f>
        <v>No expected close date</v>
      </c>
    </row>
    <row r="45" spans="1:14">
      <c r="A45" s="1" t="str">
        <f>Pipeline_Control!B45</f>
        <v>DPS-0049</v>
      </c>
      <c r="B45" s="1" t="str">
        <f>Pipeline_Control!D45</f>
        <v>DRSQ</v>
      </c>
      <c r="C45" s="1" t="str">
        <f>Pipeline_Control!G45</f>
        <v>Danny Park</v>
      </c>
      <c r="D45" s="5">
        <f>Pipeline_Control!K45</f>
        <v>50000</v>
      </c>
      <c r="E45" s="4">
        <f>Pipeline_Control!J45</f>
        <v>0</v>
      </c>
      <c r="F45" s="4">
        <f>Pipeline_Control!X45</f>
        <v>0</v>
      </c>
      <c r="G45" s="4">
        <f>Pipeline_Control!Y45</f>
        <v>0</v>
      </c>
      <c r="H45" s="1" t="str">
        <f>Pipeline_Control!AI45</f>
        <v>Watchlist</v>
      </c>
      <c r="I45" s="1" t="str">
        <f>Pipeline_Control!AJ45</f>
        <v>Scenario Only - No Close Date</v>
      </c>
      <c r="J45" s="1" t="str">
        <f>Pipeline_Control!AK45</f>
        <v>N</v>
      </c>
      <c r="K45" s="5">
        <f>Pipeline_Control!AL45</f>
        <v>0</v>
      </c>
      <c r="L45" s="5" t="str">
        <f>Pipeline_Control!AM45</f>
        <v>N</v>
      </c>
      <c r="M45" s="5">
        <f>Pipeline_Control!AN45</f>
        <v>50000</v>
      </c>
      <c r="N45" s="1" t="str">
        <f>Pipeline_Control!AO45</f>
        <v>No expected close date</v>
      </c>
    </row>
    <row r="46" spans="1:14">
      <c r="A46" s="1" t="str">
        <f>Pipeline_Control!B46</f>
        <v>DPS-0050</v>
      </c>
      <c r="B46" s="1" t="str">
        <f>Pipeline_Control!D46</f>
        <v>MISTR</v>
      </c>
      <c r="C46" s="1" t="str">
        <f>Pipeline_Control!G46</f>
        <v>Jackie King</v>
      </c>
      <c r="D46" s="5">
        <f>Pipeline_Control!K46</f>
        <v>75000</v>
      </c>
      <c r="E46" s="4">
        <f>Pipeline_Control!J46</f>
        <v>0</v>
      </c>
      <c r="F46" s="4">
        <f>Pipeline_Control!X46</f>
        <v>0</v>
      </c>
      <c r="G46" s="4">
        <f>Pipeline_Control!Y46</f>
        <v>0</v>
      </c>
      <c r="H46" s="1" t="str">
        <f>Pipeline_Control!AI46</f>
        <v>Watchlist</v>
      </c>
      <c r="I46" s="1" t="str">
        <f>Pipeline_Control!AJ46</f>
        <v>Scenario Only - No Close Date</v>
      </c>
      <c r="J46" s="1" t="str">
        <f>Pipeline_Control!AK46</f>
        <v>N</v>
      </c>
      <c r="K46" s="5">
        <f>Pipeline_Control!AL46</f>
        <v>0</v>
      </c>
      <c r="L46" s="5" t="str">
        <f>Pipeline_Control!AM46</f>
        <v>N</v>
      </c>
      <c r="M46" s="5">
        <f>Pipeline_Control!AN46</f>
        <v>75000</v>
      </c>
      <c r="N46" s="1" t="str">
        <f>Pipeline_Control!AO46</f>
        <v>No expected close date</v>
      </c>
    </row>
    <row r="47" spans="1:14" ht="56">
      <c r="A47" s="1" t="str">
        <f>Pipeline_Control!B47</f>
        <v>DPS-0051</v>
      </c>
      <c r="B47" s="1" t="str">
        <f>Pipeline_Control!D47</f>
        <v>PATTERN</v>
      </c>
      <c r="C47" s="1" t="str">
        <f>Pipeline_Control!G47</f>
        <v>Jing Santos</v>
      </c>
      <c r="D47" s="5">
        <f>Pipeline_Control!K47</f>
        <v>40000</v>
      </c>
      <c r="E47" s="4" t="str">
        <f>Pipeline_Control!J47</f>
        <v>2026-01-01</v>
      </c>
      <c r="F47" s="4" t="str">
        <f>Pipeline_Control!X47</f>
        <v>2026-01-01</v>
      </c>
      <c r="G47" s="4" t="str">
        <f>Pipeline_Control!Y47</f>
        <v>2026-01-31</v>
      </c>
      <c r="H47" s="1" t="str">
        <f>Pipeline_Control!AI47</f>
        <v>Converted/Partially Converted</v>
      </c>
      <c r="I47" s="1" t="str">
        <f>Pipeline_Control!AJ47</f>
        <v>Eligible</v>
      </c>
      <c r="J47" s="1" t="str">
        <f>Pipeline_Control!AK47</f>
        <v>Y</v>
      </c>
      <c r="K47" s="5">
        <f>Pipeline_Control!AL47</f>
        <v>40275</v>
      </c>
      <c r="L47" s="5" t="str">
        <f>Pipeline_Control!AM47</f>
        <v>N</v>
      </c>
      <c r="M47" s="5">
        <f>Pipeline_Control!AN47</f>
        <v>0</v>
      </c>
      <c r="N47" s="1" t="str">
        <f>Pipeline_Control!AO47</f>
        <v>Cash eligible</v>
      </c>
    </row>
    <row r="48" spans="1:14" ht="56">
      <c r="A48" s="1" t="str">
        <f>Pipeline_Control!B48</f>
        <v>DPS-0052</v>
      </c>
      <c r="B48" s="1" t="str">
        <f>Pipeline_Control!D48</f>
        <v>DRSQ</v>
      </c>
      <c r="C48" s="1" t="str">
        <f>Pipeline_Control!G48</f>
        <v>Danny Park</v>
      </c>
      <c r="D48" s="5">
        <f>Pipeline_Control!K48</f>
        <v>46450</v>
      </c>
      <c r="E48" s="4" t="str">
        <f>Pipeline_Control!J48</f>
        <v>2026-01-01</v>
      </c>
      <c r="F48" s="4" t="str">
        <f>Pipeline_Control!X48</f>
        <v>2026-01-01</v>
      </c>
      <c r="G48" s="4" t="str">
        <f>Pipeline_Control!Y48</f>
        <v>2026-01-31</v>
      </c>
      <c r="H48" s="1" t="str">
        <f>Pipeline_Control!AI48</f>
        <v>Converted/Partially Converted</v>
      </c>
      <c r="I48" s="1" t="str">
        <f>Pipeline_Control!AJ48</f>
        <v>Eligible</v>
      </c>
      <c r="J48" s="1" t="str">
        <f>Pipeline_Control!AK48</f>
        <v>Y</v>
      </c>
      <c r="K48" s="5">
        <f>Pipeline_Control!AL48</f>
        <v>46450</v>
      </c>
      <c r="L48" s="5" t="str">
        <f>Pipeline_Control!AM48</f>
        <v>N</v>
      </c>
      <c r="M48" s="5">
        <f>Pipeline_Control!AN48</f>
        <v>0</v>
      </c>
      <c r="N48" s="1" t="str">
        <f>Pipeline_Control!AO48</f>
        <v>Cash eligible</v>
      </c>
    </row>
    <row r="49" spans="1:14" ht="56">
      <c r="A49" s="1" t="str">
        <f>Pipeline_Control!B49</f>
        <v>DPS-0053</v>
      </c>
      <c r="B49" s="1" t="str">
        <f>Pipeline_Control!D49</f>
        <v>CECRED</v>
      </c>
      <c r="C49" s="1" t="str">
        <f>Pipeline_Control!G49</f>
        <v>Jackie King</v>
      </c>
      <c r="D49" s="5">
        <f>Pipeline_Control!K49</f>
        <v>30000</v>
      </c>
      <c r="E49" s="4" t="str">
        <f>Pipeline_Control!J49</f>
        <v>2026-01-01</v>
      </c>
      <c r="F49" s="4" t="str">
        <f>Pipeline_Control!X49</f>
        <v>2026-01-01</v>
      </c>
      <c r="G49" s="4" t="str">
        <f>Pipeline_Control!Y49</f>
        <v>2026-01-31</v>
      </c>
      <c r="H49" s="1" t="str">
        <f>Pipeline_Control!AI49</f>
        <v>Converted/Partially Converted</v>
      </c>
      <c r="I49" s="1" t="str">
        <f>Pipeline_Control!AJ49</f>
        <v>Eligible</v>
      </c>
      <c r="J49" s="1" t="str">
        <f>Pipeline_Control!AK49</f>
        <v>Y</v>
      </c>
      <c r="K49" s="5">
        <f>Pipeline_Control!AL49</f>
        <v>63164</v>
      </c>
      <c r="L49" s="5" t="str">
        <f>Pipeline_Control!AM49</f>
        <v>N</v>
      </c>
      <c r="M49" s="5">
        <f>Pipeline_Control!AN49</f>
        <v>0</v>
      </c>
      <c r="N49" s="1" t="str">
        <f>Pipeline_Control!AO49</f>
        <v>Cash eligible</v>
      </c>
    </row>
    <row r="50" spans="1:14">
      <c r="A50" s="1" t="str">
        <f>Pipeline_Control!B50</f>
        <v>DPS-0054</v>
      </c>
      <c r="B50" s="1" t="str">
        <f>Pipeline_Control!D50</f>
        <v>CECRED</v>
      </c>
      <c r="C50" s="1" t="str">
        <f>Pipeline_Control!G50</f>
        <v>Jackie King</v>
      </c>
      <c r="D50" s="5">
        <f>Pipeline_Control!K50</f>
        <v>30000</v>
      </c>
      <c r="E50" s="4">
        <f>Pipeline_Control!J50</f>
        <v>0</v>
      </c>
      <c r="F50" s="4">
        <f>Pipeline_Control!X50</f>
        <v>0</v>
      </c>
      <c r="G50" s="4">
        <f>Pipeline_Control!Y50</f>
        <v>0</v>
      </c>
      <c r="H50" s="1" t="str">
        <f>Pipeline_Control!AI50</f>
        <v>Watchlist</v>
      </c>
      <c r="I50" s="1" t="str">
        <f>Pipeline_Control!AJ50</f>
        <v>Scenario Only - No Close Date</v>
      </c>
      <c r="J50" s="1" t="str">
        <f>Pipeline_Control!AK50</f>
        <v>N</v>
      </c>
      <c r="K50" s="5">
        <f>Pipeline_Control!AL50</f>
        <v>0</v>
      </c>
      <c r="L50" s="5" t="str">
        <f>Pipeline_Control!AM50</f>
        <v>N</v>
      </c>
      <c r="M50" s="5">
        <f>Pipeline_Control!AN50</f>
        <v>30000</v>
      </c>
      <c r="N50" s="1" t="str">
        <f>Pipeline_Control!AO50</f>
        <v>No expected close date</v>
      </c>
    </row>
    <row r="51" spans="1:14">
      <c r="A51" s="1" t="str">
        <f>Pipeline_Control!B51</f>
        <v>DPS-0055</v>
      </c>
      <c r="B51" s="1" t="str">
        <f>Pipeline_Control!D51</f>
        <v>CECRED</v>
      </c>
      <c r="C51" s="1" t="str">
        <f>Pipeline_Control!G51</f>
        <v>Jackie King</v>
      </c>
      <c r="D51" s="5">
        <f>Pipeline_Control!K51</f>
        <v>30000</v>
      </c>
      <c r="E51" s="4">
        <f>Pipeline_Control!J51</f>
        <v>0</v>
      </c>
      <c r="F51" s="4">
        <f>Pipeline_Control!X51</f>
        <v>0</v>
      </c>
      <c r="G51" s="4">
        <f>Pipeline_Control!Y51</f>
        <v>0</v>
      </c>
      <c r="H51" s="1" t="str">
        <f>Pipeline_Control!AI51</f>
        <v>Watchlist</v>
      </c>
      <c r="I51" s="1" t="str">
        <f>Pipeline_Control!AJ51</f>
        <v>Scenario Only - No Close Date</v>
      </c>
      <c r="J51" s="1" t="str">
        <f>Pipeline_Control!AK51</f>
        <v>N</v>
      </c>
      <c r="K51" s="5">
        <f>Pipeline_Control!AL51</f>
        <v>0</v>
      </c>
      <c r="L51" s="5" t="str">
        <f>Pipeline_Control!AM51</f>
        <v>N</v>
      </c>
      <c r="M51" s="5">
        <f>Pipeline_Control!AN51</f>
        <v>30000</v>
      </c>
      <c r="N51" s="1" t="str">
        <f>Pipeline_Control!AO51</f>
        <v>No expected close date</v>
      </c>
    </row>
    <row r="52" spans="1:14">
      <c r="A52" s="1" t="str">
        <f>Pipeline_Control!B52</f>
        <v>DPS-0056</v>
      </c>
      <c r="B52" s="1" t="str">
        <f>Pipeline_Control!D52</f>
        <v>HEROLYTE</v>
      </c>
      <c r="C52" s="1" t="str">
        <f>Pipeline_Control!G52</f>
        <v>Jackie King</v>
      </c>
      <c r="D52" s="5">
        <f>Pipeline_Control!K52</f>
        <v>30000</v>
      </c>
      <c r="E52" s="4">
        <f>Pipeline_Control!J52</f>
        <v>0</v>
      </c>
      <c r="F52" s="4">
        <f>Pipeline_Control!X52</f>
        <v>0</v>
      </c>
      <c r="G52" s="4">
        <f>Pipeline_Control!Y52</f>
        <v>0</v>
      </c>
      <c r="H52" s="1" t="str">
        <f>Pipeline_Control!AI52</f>
        <v>Lost</v>
      </c>
      <c r="I52" s="1" t="str">
        <f>Pipeline_Control!AJ52</f>
        <v>Not Eligible - Lost</v>
      </c>
      <c r="J52" s="1" t="str">
        <f>Pipeline_Control!AK52</f>
        <v>N</v>
      </c>
      <c r="K52" s="5">
        <f>Pipeline_Control!AL52</f>
        <v>0</v>
      </c>
      <c r="L52" s="5" t="str">
        <f>Pipeline_Control!AM52</f>
        <v>N</v>
      </c>
      <c r="M52" s="5">
        <f>Pipeline_Control!AN52</f>
        <v>30000</v>
      </c>
      <c r="N52" s="1" t="str">
        <f>Pipeline_Control!AO52</f>
        <v>No expected close date</v>
      </c>
    </row>
    <row r="53" spans="1:14">
      <c r="A53" s="1" t="str">
        <f>Pipeline_Control!B53</f>
        <v>DPS-0057</v>
      </c>
      <c r="B53" s="1" t="str">
        <f>Pipeline_Control!D53</f>
        <v>HEROLYTE</v>
      </c>
      <c r="C53" s="1" t="str">
        <f>Pipeline_Control!G53</f>
        <v>Jackie King</v>
      </c>
      <c r="D53" s="5">
        <f>Pipeline_Control!K53</f>
        <v>30000</v>
      </c>
      <c r="E53" s="4">
        <f>Pipeline_Control!J53</f>
        <v>0</v>
      </c>
      <c r="F53" s="4">
        <f>Pipeline_Control!X53</f>
        <v>0</v>
      </c>
      <c r="G53" s="4">
        <f>Pipeline_Control!Y53</f>
        <v>0</v>
      </c>
      <c r="H53" s="1" t="str">
        <f>Pipeline_Control!AI53</f>
        <v>Watchlist</v>
      </c>
      <c r="I53" s="1" t="str">
        <f>Pipeline_Control!AJ53</f>
        <v>Scenario Only - No Close Date</v>
      </c>
      <c r="J53" s="1" t="str">
        <f>Pipeline_Control!AK53</f>
        <v>N</v>
      </c>
      <c r="K53" s="5">
        <f>Pipeline_Control!AL53</f>
        <v>0</v>
      </c>
      <c r="L53" s="5" t="str">
        <f>Pipeline_Control!AM53</f>
        <v>N</v>
      </c>
      <c r="M53" s="5">
        <f>Pipeline_Control!AN53</f>
        <v>30000</v>
      </c>
      <c r="N53" s="1" t="str">
        <f>Pipeline_Control!AO53</f>
        <v>No expected close date</v>
      </c>
    </row>
    <row r="54" spans="1:14">
      <c r="A54" s="1" t="str">
        <f>Pipeline_Control!B54</f>
        <v>DPS-0058</v>
      </c>
      <c r="B54" s="1" t="str">
        <f>Pipeline_Control!D54</f>
        <v>OUAI</v>
      </c>
      <c r="C54" s="1" t="str">
        <f>Pipeline_Control!G54</f>
        <v>Jing Santos</v>
      </c>
      <c r="D54" s="5">
        <f>Pipeline_Control!K54</f>
        <v>105000</v>
      </c>
      <c r="E54" s="4">
        <f>Pipeline_Control!J54</f>
        <v>0</v>
      </c>
      <c r="F54" s="4">
        <f>Pipeline_Control!X54</f>
        <v>0</v>
      </c>
      <c r="G54" s="4">
        <f>Pipeline_Control!Y54</f>
        <v>0</v>
      </c>
      <c r="H54" s="1" t="str">
        <f>Pipeline_Control!AI54</f>
        <v>Watchlist</v>
      </c>
      <c r="I54" s="1" t="str">
        <f>Pipeline_Control!AJ54</f>
        <v>Scenario Only - No Close Date</v>
      </c>
      <c r="J54" s="1" t="str">
        <f>Pipeline_Control!AK54</f>
        <v>N</v>
      </c>
      <c r="K54" s="5">
        <f>Pipeline_Control!AL54</f>
        <v>0</v>
      </c>
      <c r="L54" s="5" t="str">
        <f>Pipeline_Control!AM54</f>
        <v>N</v>
      </c>
      <c r="M54" s="5">
        <f>Pipeline_Control!AN54</f>
        <v>105000</v>
      </c>
      <c r="N54" s="1" t="str">
        <f>Pipeline_Control!AO54</f>
        <v>No expected close date</v>
      </c>
    </row>
    <row r="55" spans="1:14">
      <c r="A55" s="1" t="str">
        <f>Pipeline_Control!B55</f>
        <v>DPS-0059</v>
      </c>
      <c r="B55" s="1" t="str">
        <f>Pipeline_Control!D55</f>
        <v>OUAI</v>
      </c>
      <c r="C55" s="1" t="str">
        <f>Pipeline_Control!G55</f>
        <v>Jing Santos</v>
      </c>
      <c r="D55" s="5">
        <f>Pipeline_Control!K55</f>
        <v>105000</v>
      </c>
      <c r="E55" s="4">
        <f>Pipeline_Control!J55</f>
        <v>0</v>
      </c>
      <c r="F55" s="4">
        <f>Pipeline_Control!X55</f>
        <v>0</v>
      </c>
      <c r="G55" s="4">
        <f>Pipeline_Control!Y55</f>
        <v>0</v>
      </c>
      <c r="H55" s="1" t="str">
        <f>Pipeline_Control!AI55</f>
        <v>Watchlist</v>
      </c>
      <c r="I55" s="1" t="str">
        <f>Pipeline_Control!AJ55</f>
        <v>Scenario Only - No Close Date</v>
      </c>
      <c r="J55" s="1" t="str">
        <f>Pipeline_Control!AK55</f>
        <v>N</v>
      </c>
      <c r="K55" s="5">
        <f>Pipeline_Control!AL55</f>
        <v>0</v>
      </c>
      <c r="L55" s="5" t="str">
        <f>Pipeline_Control!AM55</f>
        <v>N</v>
      </c>
      <c r="M55" s="5">
        <f>Pipeline_Control!AN55</f>
        <v>105000</v>
      </c>
      <c r="N55" s="1" t="str">
        <f>Pipeline_Control!AO55</f>
        <v>No expected close date</v>
      </c>
    </row>
    <row r="56" spans="1:14">
      <c r="A56" s="1" t="str">
        <f>Pipeline_Control!B56</f>
        <v>DPS-0060</v>
      </c>
      <c r="B56" s="1" t="str">
        <f>Pipeline_Control!D56</f>
        <v>GET W</v>
      </c>
      <c r="C56" s="1" t="str">
        <f>Pipeline_Control!G56</f>
        <v>Jing Santos</v>
      </c>
      <c r="D56" s="5">
        <f>Pipeline_Control!K56</f>
        <v>50000</v>
      </c>
      <c r="E56" s="4">
        <f>Pipeline_Control!J56</f>
        <v>0</v>
      </c>
      <c r="F56" s="4">
        <f>Pipeline_Control!X56</f>
        <v>0</v>
      </c>
      <c r="G56" s="4">
        <f>Pipeline_Control!Y56</f>
        <v>0</v>
      </c>
      <c r="H56" s="1" t="str">
        <f>Pipeline_Control!AI56</f>
        <v>Watchlist</v>
      </c>
      <c r="I56" s="1" t="str">
        <f>Pipeline_Control!AJ56</f>
        <v>Scenario Only - No Close Date</v>
      </c>
      <c r="J56" s="1" t="str">
        <f>Pipeline_Control!AK56</f>
        <v>N</v>
      </c>
      <c r="K56" s="5">
        <f>Pipeline_Control!AL56</f>
        <v>0</v>
      </c>
      <c r="L56" s="5" t="str">
        <f>Pipeline_Control!AM56</f>
        <v>N</v>
      </c>
      <c r="M56" s="5">
        <f>Pipeline_Control!AN56</f>
        <v>50000</v>
      </c>
      <c r="N56" s="1" t="str">
        <f>Pipeline_Control!AO56</f>
        <v>No expected close date</v>
      </c>
    </row>
    <row r="57" spans="1:14">
      <c r="A57" s="1" t="str">
        <f>Pipeline_Control!B57</f>
        <v>DPS-0061</v>
      </c>
      <c r="B57" s="1" t="str">
        <f>Pipeline_Control!D57</f>
        <v>MISTR</v>
      </c>
      <c r="C57" s="1" t="str">
        <f>Pipeline_Control!G57</f>
        <v>Jackie King</v>
      </c>
      <c r="D57" s="5">
        <f>Pipeline_Control!K57</f>
        <v>50000</v>
      </c>
      <c r="E57" s="4">
        <f>Pipeline_Control!J57</f>
        <v>0</v>
      </c>
      <c r="F57" s="4">
        <f>Pipeline_Control!X57</f>
        <v>0</v>
      </c>
      <c r="G57" s="4">
        <f>Pipeline_Control!Y57</f>
        <v>0</v>
      </c>
      <c r="H57" s="1" t="str">
        <f>Pipeline_Control!AI57</f>
        <v>Watchlist</v>
      </c>
      <c r="I57" s="1" t="str">
        <f>Pipeline_Control!AJ57</f>
        <v>Scenario Only - No Close Date</v>
      </c>
      <c r="J57" s="1" t="str">
        <f>Pipeline_Control!AK57</f>
        <v>N</v>
      </c>
      <c r="K57" s="5">
        <f>Pipeline_Control!AL57</f>
        <v>0</v>
      </c>
      <c r="L57" s="5" t="str">
        <f>Pipeline_Control!AM57</f>
        <v>N</v>
      </c>
      <c r="M57" s="5">
        <f>Pipeline_Control!AN57</f>
        <v>50000</v>
      </c>
      <c r="N57" s="1" t="str">
        <f>Pipeline_Control!AO57</f>
        <v>No expected close date</v>
      </c>
    </row>
    <row r="58" spans="1:14">
      <c r="A58" s="1" t="str">
        <f>Pipeline_Control!B58</f>
        <v>DPS-0062</v>
      </c>
      <c r="B58" s="1" t="str">
        <f>Pipeline_Control!D58</f>
        <v>EMI JAY</v>
      </c>
      <c r="C58" s="1" t="str">
        <f>Pipeline_Control!G58</f>
        <v>Jing Santos</v>
      </c>
      <c r="D58" s="5">
        <f>Pipeline_Control!K58</f>
        <v>23000</v>
      </c>
      <c r="E58" s="4">
        <f>Pipeline_Control!J58</f>
        <v>0</v>
      </c>
      <c r="F58" s="4">
        <f>Pipeline_Control!X58</f>
        <v>0</v>
      </c>
      <c r="G58" s="4">
        <f>Pipeline_Control!Y58</f>
        <v>0</v>
      </c>
      <c r="H58" s="1" t="str">
        <f>Pipeline_Control!AI58</f>
        <v>Watchlist</v>
      </c>
      <c r="I58" s="1" t="str">
        <f>Pipeline_Control!AJ58</f>
        <v>Scenario Only - No Close Date</v>
      </c>
      <c r="J58" s="1" t="str">
        <f>Pipeline_Control!AK58</f>
        <v>N</v>
      </c>
      <c r="K58" s="5">
        <f>Pipeline_Control!AL58</f>
        <v>0</v>
      </c>
      <c r="L58" s="5" t="str">
        <f>Pipeline_Control!AM58</f>
        <v>N</v>
      </c>
      <c r="M58" s="5">
        <f>Pipeline_Control!AN58</f>
        <v>23000</v>
      </c>
      <c r="N58" s="1" t="str">
        <f>Pipeline_Control!AO58</f>
        <v>No expected close date</v>
      </c>
    </row>
    <row r="59" spans="1:14">
      <c r="A59" s="1" t="str">
        <f>Pipeline_Control!B59</f>
        <v>DPS-0063</v>
      </c>
      <c r="B59" s="1" t="str">
        <f>Pipeline_Control!D59</f>
        <v>PATTERN</v>
      </c>
      <c r="C59" s="1" t="str">
        <f>Pipeline_Control!G59</f>
        <v>Jing Santos</v>
      </c>
      <c r="D59" s="5">
        <f>Pipeline_Control!K59</f>
        <v>25000</v>
      </c>
      <c r="E59" s="4">
        <f>Pipeline_Control!J59</f>
        <v>0</v>
      </c>
      <c r="F59" s="4">
        <f>Pipeline_Control!X59</f>
        <v>0</v>
      </c>
      <c r="G59" s="4">
        <f>Pipeline_Control!Y59</f>
        <v>0</v>
      </c>
      <c r="H59" s="1" t="str">
        <f>Pipeline_Control!AI59</f>
        <v>Lost</v>
      </c>
      <c r="I59" s="1" t="str">
        <f>Pipeline_Control!AJ59</f>
        <v>Not Eligible - Lost</v>
      </c>
      <c r="J59" s="1" t="str">
        <f>Pipeline_Control!AK59</f>
        <v>N</v>
      </c>
      <c r="K59" s="5">
        <f>Pipeline_Control!AL59</f>
        <v>0</v>
      </c>
      <c r="L59" s="5" t="str">
        <f>Pipeline_Control!AM59</f>
        <v>N</v>
      </c>
      <c r="M59" s="5">
        <f>Pipeline_Control!AN59</f>
        <v>25000</v>
      </c>
      <c r="N59" s="1" t="str">
        <f>Pipeline_Control!AO59</f>
        <v>No expected close date</v>
      </c>
    </row>
    <row r="60" spans="1:14">
      <c r="A60" s="1" t="str">
        <f>Pipeline_Control!B60</f>
        <v>DPS-0064</v>
      </c>
      <c r="B60" s="1" t="str">
        <f>Pipeline_Control!D60</f>
        <v>NewULife</v>
      </c>
      <c r="C60" s="1" t="str">
        <f>Pipeline_Control!G60</f>
        <v>Jackie King</v>
      </c>
      <c r="D60" s="5">
        <f>Pipeline_Control!K60</f>
        <v>25000</v>
      </c>
      <c r="E60" s="4">
        <f>Pipeline_Control!J60</f>
        <v>0</v>
      </c>
      <c r="F60" s="4">
        <f>Pipeline_Control!X60</f>
        <v>0</v>
      </c>
      <c r="G60" s="4">
        <f>Pipeline_Control!Y60</f>
        <v>0</v>
      </c>
      <c r="H60" s="1" t="str">
        <f>Pipeline_Control!AI60</f>
        <v>Watchlist</v>
      </c>
      <c r="I60" s="1" t="str">
        <f>Pipeline_Control!AJ60</f>
        <v>Scenario Only - No Close Date</v>
      </c>
      <c r="J60" s="1" t="str">
        <f>Pipeline_Control!AK60</f>
        <v>N</v>
      </c>
      <c r="K60" s="5">
        <f>Pipeline_Control!AL60</f>
        <v>0</v>
      </c>
      <c r="L60" s="5" t="str">
        <f>Pipeline_Control!AM60</f>
        <v>N</v>
      </c>
      <c r="M60" s="5">
        <f>Pipeline_Control!AN60</f>
        <v>25000</v>
      </c>
      <c r="N60" s="1" t="str">
        <f>Pipeline_Control!AO60</f>
        <v>No expected close date</v>
      </c>
    </row>
    <row r="61" spans="1:14">
      <c r="A61" s="1" t="str">
        <f>Pipeline_Control!B61</f>
        <v>DPS-0065</v>
      </c>
      <c r="B61" s="1" t="str">
        <f>Pipeline_Control!D61</f>
        <v>NewULife</v>
      </c>
      <c r="C61" s="1" t="str">
        <f>Pipeline_Control!G61</f>
        <v>Jackie King</v>
      </c>
      <c r="D61" s="5">
        <f>Pipeline_Control!K61</f>
        <v>25000</v>
      </c>
      <c r="E61" s="4">
        <f>Pipeline_Control!J61</f>
        <v>0</v>
      </c>
      <c r="F61" s="4">
        <f>Pipeline_Control!X61</f>
        <v>0</v>
      </c>
      <c r="G61" s="4">
        <f>Pipeline_Control!Y61</f>
        <v>0</v>
      </c>
      <c r="H61" s="1" t="str">
        <f>Pipeline_Control!AI61</f>
        <v>Watchlist</v>
      </c>
      <c r="I61" s="1" t="str">
        <f>Pipeline_Control!AJ61</f>
        <v>Scenario Only - No Close Date</v>
      </c>
      <c r="J61" s="1" t="str">
        <f>Pipeline_Control!AK61</f>
        <v>N</v>
      </c>
      <c r="K61" s="5">
        <f>Pipeline_Control!AL61</f>
        <v>0</v>
      </c>
      <c r="L61" s="5" t="str">
        <f>Pipeline_Control!AM61</f>
        <v>N</v>
      </c>
      <c r="M61" s="5">
        <f>Pipeline_Control!AN61</f>
        <v>25000</v>
      </c>
      <c r="N61" s="1" t="str">
        <f>Pipeline_Control!AO61</f>
        <v>No expected close date</v>
      </c>
    </row>
    <row r="62" spans="1:14">
      <c r="A62" s="1" t="str">
        <f>Pipeline_Control!B62</f>
        <v>DPS-0066</v>
      </c>
      <c r="B62" s="1" t="str">
        <f>Pipeline_Control!D62</f>
        <v>NewULife</v>
      </c>
      <c r="C62" s="1" t="str">
        <f>Pipeline_Control!G62</f>
        <v>Jackie King</v>
      </c>
      <c r="D62" s="5">
        <f>Pipeline_Control!K62</f>
        <v>25000</v>
      </c>
      <c r="E62" s="4">
        <f>Pipeline_Control!J62</f>
        <v>0</v>
      </c>
      <c r="F62" s="4">
        <f>Pipeline_Control!X62</f>
        <v>0</v>
      </c>
      <c r="G62" s="4">
        <f>Pipeline_Control!Y62</f>
        <v>0</v>
      </c>
      <c r="H62" s="1" t="str">
        <f>Pipeline_Control!AI62</f>
        <v>Watchlist</v>
      </c>
      <c r="I62" s="1" t="str">
        <f>Pipeline_Control!AJ62</f>
        <v>Scenario Only - No Close Date</v>
      </c>
      <c r="J62" s="1" t="str">
        <f>Pipeline_Control!AK62</f>
        <v>N</v>
      </c>
      <c r="K62" s="5">
        <f>Pipeline_Control!AL62</f>
        <v>0</v>
      </c>
      <c r="L62" s="5" t="str">
        <f>Pipeline_Control!AM62</f>
        <v>N</v>
      </c>
      <c r="M62" s="5">
        <f>Pipeline_Control!AN62</f>
        <v>25000</v>
      </c>
      <c r="N62" s="1" t="str">
        <f>Pipeline_Control!AO62</f>
        <v>No expected close date</v>
      </c>
    </row>
    <row r="63" spans="1:14">
      <c r="A63" s="1" t="str">
        <f>Pipeline_Control!B63</f>
        <v>DPS-0067</v>
      </c>
      <c r="B63" s="1" t="str">
        <f>Pipeline_Control!D63</f>
        <v>EMI JAY</v>
      </c>
      <c r="C63" s="1" t="str">
        <f>Pipeline_Control!G63</f>
        <v>Jing Santos</v>
      </c>
      <c r="D63" s="5">
        <f>Pipeline_Control!K63</f>
        <v>30000</v>
      </c>
      <c r="E63" s="4">
        <f>Pipeline_Control!J63</f>
        <v>0</v>
      </c>
      <c r="F63" s="4">
        <f>Pipeline_Control!X63</f>
        <v>0</v>
      </c>
      <c r="G63" s="4">
        <f>Pipeline_Control!Y63</f>
        <v>0</v>
      </c>
      <c r="H63" s="1" t="str">
        <f>Pipeline_Control!AI63</f>
        <v>Watchlist</v>
      </c>
      <c r="I63" s="1" t="str">
        <f>Pipeline_Control!AJ63</f>
        <v>Scenario Only - No Close Date</v>
      </c>
      <c r="J63" s="1" t="str">
        <f>Pipeline_Control!AK63</f>
        <v>N</v>
      </c>
      <c r="K63" s="5">
        <f>Pipeline_Control!AL63</f>
        <v>0</v>
      </c>
      <c r="L63" s="5" t="str">
        <f>Pipeline_Control!AM63</f>
        <v>N</v>
      </c>
      <c r="M63" s="5">
        <f>Pipeline_Control!AN63</f>
        <v>30000</v>
      </c>
      <c r="N63" s="1" t="str">
        <f>Pipeline_Control!AO63</f>
        <v>No expected close date</v>
      </c>
    </row>
    <row r="64" spans="1:14">
      <c r="A64" s="1" t="str">
        <f>Pipeline_Control!B64</f>
        <v>DPS-0068</v>
      </c>
      <c r="B64" s="1" t="str">
        <f>Pipeline_Control!D64</f>
        <v>EMI JAY</v>
      </c>
      <c r="C64" s="1" t="str">
        <f>Pipeline_Control!G64</f>
        <v>Jing Santos</v>
      </c>
      <c r="D64" s="5">
        <f>Pipeline_Control!K64</f>
        <v>30000</v>
      </c>
      <c r="E64" s="4">
        <f>Pipeline_Control!J64</f>
        <v>0</v>
      </c>
      <c r="F64" s="4">
        <f>Pipeline_Control!X64</f>
        <v>0</v>
      </c>
      <c r="G64" s="4">
        <f>Pipeline_Control!Y64</f>
        <v>0</v>
      </c>
      <c r="H64" s="1" t="str">
        <f>Pipeline_Control!AI64</f>
        <v>Watchlist</v>
      </c>
      <c r="I64" s="1" t="str">
        <f>Pipeline_Control!AJ64</f>
        <v>Scenario Only - No Close Date</v>
      </c>
      <c r="J64" s="1" t="str">
        <f>Pipeline_Control!AK64</f>
        <v>N</v>
      </c>
      <c r="K64" s="5">
        <f>Pipeline_Control!AL64</f>
        <v>0</v>
      </c>
      <c r="L64" s="5" t="str">
        <f>Pipeline_Control!AM64</f>
        <v>N</v>
      </c>
      <c r="M64" s="5">
        <f>Pipeline_Control!AN64</f>
        <v>30000</v>
      </c>
      <c r="N64" s="1" t="str">
        <f>Pipeline_Control!AO64</f>
        <v>No expected close date</v>
      </c>
    </row>
    <row r="65" spans="1:14">
      <c r="A65" s="1" t="str">
        <f>Pipeline_Control!B65</f>
        <v>DPS-0069</v>
      </c>
      <c r="B65" s="1" t="str">
        <f>Pipeline_Control!D65</f>
        <v>EMI JAY</v>
      </c>
      <c r="C65" s="1" t="str">
        <f>Pipeline_Control!G65</f>
        <v>Jing Santos</v>
      </c>
      <c r="D65" s="5">
        <f>Pipeline_Control!K65</f>
        <v>30000</v>
      </c>
      <c r="E65" s="4">
        <f>Pipeline_Control!J65</f>
        <v>0</v>
      </c>
      <c r="F65" s="4">
        <f>Pipeline_Control!X65</f>
        <v>0</v>
      </c>
      <c r="G65" s="4">
        <f>Pipeline_Control!Y65</f>
        <v>0</v>
      </c>
      <c r="H65" s="1" t="str">
        <f>Pipeline_Control!AI65</f>
        <v>Watchlist</v>
      </c>
      <c r="I65" s="1" t="str">
        <f>Pipeline_Control!AJ65</f>
        <v>Scenario Only - No Close Date</v>
      </c>
      <c r="J65" s="1" t="str">
        <f>Pipeline_Control!AK65</f>
        <v>N</v>
      </c>
      <c r="K65" s="5">
        <f>Pipeline_Control!AL65</f>
        <v>0</v>
      </c>
      <c r="L65" s="5" t="str">
        <f>Pipeline_Control!AM65</f>
        <v>N</v>
      </c>
      <c r="M65" s="5">
        <f>Pipeline_Control!AN65</f>
        <v>30000</v>
      </c>
      <c r="N65" s="1" t="str">
        <f>Pipeline_Control!AO65</f>
        <v>No expected close date</v>
      </c>
    </row>
    <row r="66" spans="1:14">
      <c r="A66" s="1" t="str">
        <f>Pipeline_Control!B66</f>
        <v>DPS-0070</v>
      </c>
      <c r="B66" s="1" t="str">
        <f>Pipeline_Control!D66</f>
        <v>EMI JAY</v>
      </c>
      <c r="C66" s="1" t="str">
        <f>Pipeline_Control!G66</f>
        <v>Jing Santos</v>
      </c>
      <c r="D66" s="5">
        <f>Pipeline_Control!K66</f>
        <v>30000</v>
      </c>
      <c r="E66" s="4">
        <f>Pipeline_Control!J66</f>
        <v>0</v>
      </c>
      <c r="F66" s="4">
        <f>Pipeline_Control!X66</f>
        <v>0</v>
      </c>
      <c r="G66" s="4">
        <f>Pipeline_Control!Y66</f>
        <v>0</v>
      </c>
      <c r="H66" s="1" t="str">
        <f>Pipeline_Control!AI66</f>
        <v>Watchlist</v>
      </c>
      <c r="I66" s="1" t="str">
        <f>Pipeline_Control!AJ66</f>
        <v>Scenario Only - No Close Date</v>
      </c>
      <c r="J66" s="1" t="str">
        <f>Pipeline_Control!AK66</f>
        <v>N</v>
      </c>
      <c r="K66" s="5">
        <f>Pipeline_Control!AL66</f>
        <v>0</v>
      </c>
      <c r="L66" s="5" t="str">
        <f>Pipeline_Control!AM66</f>
        <v>N</v>
      </c>
      <c r="M66" s="5">
        <f>Pipeline_Control!AN66</f>
        <v>30000</v>
      </c>
      <c r="N66" s="1" t="str">
        <f>Pipeline_Control!AO66</f>
        <v>No expected close date</v>
      </c>
    </row>
    <row r="67" spans="1:14">
      <c r="A67" s="1" t="str">
        <f>Pipeline_Control!B67</f>
        <v>DPS-0107</v>
      </c>
      <c r="B67" s="1" t="str">
        <f>Pipeline_Control!D67</f>
        <v>Nemah</v>
      </c>
      <c r="C67" s="1" t="str">
        <f>Pipeline_Control!G67</f>
        <v>Jing Santos</v>
      </c>
      <c r="D67" s="5">
        <f>Pipeline_Control!K67</f>
        <v>25000</v>
      </c>
      <c r="E67" s="4">
        <f>Pipeline_Control!J67</f>
        <v>0</v>
      </c>
      <c r="F67" s="4">
        <f>Pipeline_Control!X67</f>
        <v>0</v>
      </c>
      <c r="G67" s="4">
        <f>Pipeline_Control!Y67</f>
        <v>0</v>
      </c>
      <c r="H67" s="1" t="str">
        <f>Pipeline_Control!AI67</f>
        <v>Watchlist</v>
      </c>
      <c r="I67" s="1" t="str">
        <f>Pipeline_Control!AJ67</f>
        <v>Scenario Only - No Close Date</v>
      </c>
      <c r="J67" s="1" t="str">
        <f>Pipeline_Control!AK67</f>
        <v>N</v>
      </c>
      <c r="K67" s="5">
        <f>Pipeline_Control!AL67</f>
        <v>0</v>
      </c>
      <c r="L67" s="5" t="str">
        <f>Pipeline_Control!AM67</f>
        <v>N</v>
      </c>
      <c r="M67" s="5">
        <f>Pipeline_Control!AN67</f>
        <v>25000</v>
      </c>
      <c r="N67" s="1" t="str">
        <f>Pipeline_Control!AO67</f>
        <v>No expected close date</v>
      </c>
    </row>
    <row r="68" spans="1:14">
      <c r="A68" s="1" t="str">
        <f>Pipeline_Control!B68</f>
        <v>DPS-0108</v>
      </c>
      <c r="B68" s="1" t="str">
        <f>Pipeline_Control!D68</f>
        <v>Nemah</v>
      </c>
      <c r="C68" s="1" t="str">
        <f>Pipeline_Control!G68</f>
        <v>Jing Santos</v>
      </c>
      <c r="D68" s="5">
        <f>Pipeline_Control!K68</f>
        <v>25000</v>
      </c>
      <c r="E68" s="4">
        <f>Pipeline_Control!J68</f>
        <v>0</v>
      </c>
      <c r="F68" s="4">
        <f>Pipeline_Control!X68</f>
        <v>0</v>
      </c>
      <c r="G68" s="4">
        <f>Pipeline_Control!Y68</f>
        <v>0</v>
      </c>
      <c r="H68" s="1" t="str">
        <f>Pipeline_Control!AI68</f>
        <v>Watchlist</v>
      </c>
      <c r="I68" s="1" t="str">
        <f>Pipeline_Control!AJ68</f>
        <v>Scenario Only - No Close Date</v>
      </c>
      <c r="J68" s="1" t="str">
        <f>Pipeline_Control!AK68</f>
        <v>N</v>
      </c>
      <c r="K68" s="5">
        <f>Pipeline_Control!AL68</f>
        <v>0</v>
      </c>
      <c r="L68" s="5" t="str">
        <f>Pipeline_Control!AM68</f>
        <v>N</v>
      </c>
      <c r="M68" s="5">
        <f>Pipeline_Control!AN68</f>
        <v>25000</v>
      </c>
      <c r="N68" s="1" t="str">
        <f>Pipeline_Control!AO68</f>
        <v>No expected close date</v>
      </c>
    </row>
    <row r="69" spans="1:14">
      <c r="A69" s="1" t="str">
        <f>Pipeline_Control!B69</f>
        <v>DPS-0109</v>
      </c>
      <c r="B69" s="1" t="str">
        <f>Pipeline_Control!D69</f>
        <v>Nemah</v>
      </c>
      <c r="C69" s="1" t="str">
        <f>Pipeline_Control!G69</f>
        <v>Jing Santos</v>
      </c>
      <c r="D69" s="5">
        <f>Pipeline_Control!K69</f>
        <v>25000</v>
      </c>
      <c r="E69" s="4">
        <f>Pipeline_Control!J69</f>
        <v>0</v>
      </c>
      <c r="F69" s="4">
        <f>Pipeline_Control!X69</f>
        <v>0</v>
      </c>
      <c r="G69" s="4">
        <f>Pipeline_Control!Y69</f>
        <v>0</v>
      </c>
      <c r="H69" s="1" t="str">
        <f>Pipeline_Control!AI69</f>
        <v>Watchlist</v>
      </c>
      <c r="I69" s="1" t="str">
        <f>Pipeline_Control!AJ69</f>
        <v>Scenario Only - No Close Date</v>
      </c>
      <c r="J69" s="1" t="str">
        <f>Pipeline_Control!AK69</f>
        <v>N</v>
      </c>
      <c r="K69" s="5">
        <f>Pipeline_Control!AL69</f>
        <v>0</v>
      </c>
      <c r="L69" s="5" t="str">
        <f>Pipeline_Control!AM69</f>
        <v>N</v>
      </c>
      <c r="M69" s="5">
        <f>Pipeline_Control!AN69</f>
        <v>25000</v>
      </c>
      <c r="N69" s="1" t="str">
        <f>Pipeline_Control!AO69</f>
        <v>No expected close date</v>
      </c>
    </row>
    <row r="70" spans="1:14">
      <c r="A70" s="1" t="str">
        <f>Pipeline_Control!B70</f>
        <v>DPS-0110</v>
      </c>
      <c r="B70" s="1" t="str">
        <f>Pipeline_Control!D70</f>
        <v>Nemah</v>
      </c>
      <c r="C70" s="1" t="str">
        <f>Pipeline_Control!G70</f>
        <v>Jing Santos</v>
      </c>
      <c r="D70" s="5">
        <f>Pipeline_Control!K70</f>
        <v>25000</v>
      </c>
      <c r="E70" s="4">
        <f>Pipeline_Control!J70</f>
        <v>0</v>
      </c>
      <c r="F70" s="4">
        <f>Pipeline_Control!X70</f>
        <v>0</v>
      </c>
      <c r="G70" s="4">
        <f>Pipeline_Control!Y70</f>
        <v>0</v>
      </c>
      <c r="H70" s="1" t="str">
        <f>Pipeline_Control!AI70</f>
        <v>Watchlist</v>
      </c>
      <c r="I70" s="1" t="str">
        <f>Pipeline_Control!AJ70</f>
        <v>Scenario Only - No Close Date</v>
      </c>
      <c r="J70" s="1" t="str">
        <f>Pipeline_Control!AK70</f>
        <v>N</v>
      </c>
      <c r="K70" s="5">
        <f>Pipeline_Control!AL70</f>
        <v>0</v>
      </c>
      <c r="L70" s="5" t="str">
        <f>Pipeline_Control!AM70</f>
        <v>N</v>
      </c>
      <c r="M70" s="5">
        <f>Pipeline_Control!AN70</f>
        <v>25000</v>
      </c>
      <c r="N70" s="1" t="str">
        <f>Pipeline_Control!AO70</f>
        <v>No expected close date</v>
      </c>
    </row>
    <row r="71" spans="1:14">
      <c r="A71" s="1" t="str">
        <f>Pipeline_Control!B71</f>
        <v>DPS-0111</v>
      </c>
      <c r="B71" s="1" t="str">
        <f>Pipeline_Control!D71</f>
        <v>Nemah</v>
      </c>
      <c r="C71" s="1" t="str">
        <f>Pipeline_Control!G71</f>
        <v>Jing Santos</v>
      </c>
      <c r="D71" s="5">
        <f>Pipeline_Control!K71</f>
        <v>25000</v>
      </c>
      <c r="E71" s="4">
        <f>Pipeline_Control!J71</f>
        <v>0</v>
      </c>
      <c r="F71" s="4">
        <f>Pipeline_Control!X71</f>
        <v>0</v>
      </c>
      <c r="G71" s="4">
        <f>Pipeline_Control!Y71</f>
        <v>0</v>
      </c>
      <c r="H71" s="1" t="str">
        <f>Pipeline_Control!AI71</f>
        <v>Watchlist</v>
      </c>
      <c r="I71" s="1" t="str">
        <f>Pipeline_Control!AJ71</f>
        <v>Scenario Only - No Close Date</v>
      </c>
      <c r="J71" s="1" t="str">
        <f>Pipeline_Control!AK71</f>
        <v>N</v>
      </c>
      <c r="K71" s="5">
        <f>Pipeline_Control!AL71</f>
        <v>0</v>
      </c>
      <c r="L71" s="5" t="str">
        <f>Pipeline_Control!AM71</f>
        <v>N</v>
      </c>
      <c r="M71" s="5">
        <f>Pipeline_Control!AN71</f>
        <v>25000</v>
      </c>
      <c r="N71" s="1" t="str">
        <f>Pipeline_Control!AO71</f>
        <v>No expected close date</v>
      </c>
    </row>
    <row r="72" spans="1:14" ht="56">
      <c r="A72" s="1" t="str">
        <f>Pipeline_Control!B72</f>
        <v>DPS-0071</v>
      </c>
      <c r="B72" s="1" t="str">
        <f>Pipeline_Control!D72</f>
        <v>GOLDENHIPPO</v>
      </c>
      <c r="C72" s="1" t="str">
        <f>Pipeline_Control!G72</f>
        <v>Danny Park</v>
      </c>
      <c r="D72" s="5">
        <f>Pipeline_Control!K72</f>
        <v>22000</v>
      </c>
      <c r="E72" s="4" t="str">
        <f>Pipeline_Control!J72</f>
        <v>2026-03-17</v>
      </c>
      <c r="F72" s="4" t="str">
        <f>Pipeline_Control!X72</f>
        <v>2026-03-17</v>
      </c>
      <c r="G72" s="4" t="str">
        <f>Pipeline_Control!Y72</f>
        <v>2026-04-16</v>
      </c>
      <c r="H72" s="1" t="str">
        <f>Pipeline_Control!AI72</f>
        <v>Converted/Partially Converted</v>
      </c>
      <c r="I72" s="1" t="str">
        <f>Pipeline_Control!AJ72</f>
        <v>Eligible</v>
      </c>
      <c r="J72" s="1" t="str">
        <f>Pipeline_Control!AK72</f>
        <v>Y</v>
      </c>
      <c r="K72" s="5">
        <f>Pipeline_Control!AL72</f>
        <v>29000</v>
      </c>
      <c r="L72" s="5" t="str">
        <f>Pipeline_Control!AM72</f>
        <v>N</v>
      </c>
      <c r="M72" s="5">
        <f>Pipeline_Control!AN72</f>
        <v>0</v>
      </c>
      <c r="N72" s="1" t="str">
        <f>Pipeline_Control!AO72</f>
        <v>Cash eligible</v>
      </c>
    </row>
    <row r="73" spans="1:14">
      <c r="A73" s="1" t="str">
        <f>Pipeline_Control!B73</f>
        <v>DPS-0072</v>
      </c>
      <c r="B73" s="1" t="str">
        <f>Pipeline_Control!D73</f>
        <v>Nemah</v>
      </c>
      <c r="C73" s="1" t="str">
        <f>Pipeline_Control!G73</f>
        <v>Jing Santos</v>
      </c>
      <c r="D73" s="5">
        <f>Pipeline_Control!K73</f>
        <v>25000</v>
      </c>
      <c r="E73" s="4">
        <f>Pipeline_Control!J73</f>
        <v>0</v>
      </c>
      <c r="F73" s="4">
        <f>Pipeline_Control!X73</f>
        <v>0</v>
      </c>
      <c r="G73" s="4">
        <f>Pipeline_Control!Y73</f>
        <v>0</v>
      </c>
      <c r="H73" s="1" t="str">
        <f>Pipeline_Control!AI73</f>
        <v>Watchlist</v>
      </c>
      <c r="I73" s="1" t="str">
        <f>Pipeline_Control!AJ73</f>
        <v>Scenario Only - No Close Date</v>
      </c>
      <c r="J73" s="1" t="str">
        <f>Pipeline_Control!AK73</f>
        <v>N</v>
      </c>
      <c r="K73" s="5">
        <f>Pipeline_Control!AL73</f>
        <v>0</v>
      </c>
      <c r="L73" s="5" t="str">
        <f>Pipeline_Control!AM73</f>
        <v>N</v>
      </c>
      <c r="M73" s="5">
        <f>Pipeline_Control!AN73</f>
        <v>25000</v>
      </c>
      <c r="N73" s="1" t="str">
        <f>Pipeline_Control!AO73</f>
        <v>No expected close date</v>
      </c>
    </row>
    <row r="74" spans="1:14">
      <c r="A74" s="1" t="str">
        <f>Pipeline_Control!B74</f>
        <v>DPS-0073</v>
      </c>
      <c r="B74" s="1" t="str">
        <f>Pipeline_Control!D74</f>
        <v>Nemah</v>
      </c>
      <c r="C74" s="1" t="str">
        <f>Pipeline_Control!G74</f>
        <v>Jing Santos</v>
      </c>
      <c r="D74" s="5">
        <f>Pipeline_Control!K74</f>
        <v>25000</v>
      </c>
      <c r="E74" s="4">
        <f>Pipeline_Control!J74</f>
        <v>0</v>
      </c>
      <c r="F74" s="4">
        <f>Pipeline_Control!X74</f>
        <v>0</v>
      </c>
      <c r="G74" s="4">
        <f>Pipeline_Control!Y74</f>
        <v>0</v>
      </c>
      <c r="H74" s="1" t="str">
        <f>Pipeline_Control!AI74</f>
        <v>Watchlist</v>
      </c>
      <c r="I74" s="1" t="str">
        <f>Pipeline_Control!AJ74</f>
        <v>Scenario Only - No Close Date</v>
      </c>
      <c r="J74" s="1" t="str">
        <f>Pipeline_Control!AK74</f>
        <v>N</v>
      </c>
      <c r="K74" s="5">
        <f>Pipeline_Control!AL74</f>
        <v>0</v>
      </c>
      <c r="L74" s="5" t="str">
        <f>Pipeline_Control!AM74</f>
        <v>N</v>
      </c>
      <c r="M74" s="5">
        <f>Pipeline_Control!AN74</f>
        <v>25000</v>
      </c>
      <c r="N74" s="1" t="str">
        <f>Pipeline_Control!AO74</f>
        <v>No expected close date</v>
      </c>
    </row>
    <row r="75" spans="1:14">
      <c r="A75" s="1" t="str">
        <f>Pipeline_Control!B75</f>
        <v>DPS-0074</v>
      </c>
      <c r="B75" s="1" t="str">
        <f>Pipeline_Control!D75</f>
        <v>Nemah</v>
      </c>
      <c r="C75" s="1" t="str">
        <f>Pipeline_Control!G75</f>
        <v>Jing Santos</v>
      </c>
      <c r="D75" s="5">
        <f>Pipeline_Control!K75</f>
        <v>25000</v>
      </c>
      <c r="E75" s="4">
        <f>Pipeline_Control!J75</f>
        <v>0</v>
      </c>
      <c r="F75" s="4">
        <f>Pipeline_Control!X75</f>
        <v>0</v>
      </c>
      <c r="G75" s="4">
        <f>Pipeline_Control!Y75</f>
        <v>0</v>
      </c>
      <c r="H75" s="1" t="str">
        <f>Pipeline_Control!AI75</f>
        <v>Watchlist</v>
      </c>
      <c r="I75" s="1" t="str">
        <f>Pipeline_Control!AJ75</f>
        <v>Scenario Only - No Close Date</v>
      </c>
      <c r="J75" s="1" t="str">
        <f>Pipeline_Control!AK75</f>
        <v>N</v>
      </c>
      <c r="K75" s="5">
        <f>Pipeline_Control!AL75</f>
        <v>0</v>
      </c>
      <c r="L75" s="5" t="str">
        <f>Pipeline_Control!AM75</f>
        <v>N</v>
      </c>
      <c r="M75" s="5">
        <f>Pipeline_Control!AN75</f>
        <v>25000</v>
      </c>
      <c r="N75" s="1" t="str">
        <f>Pipeline_Control!AO75</f>
        <v>No expected close date</v>
      </c>
    </row>
    <row r="76" spans="1:14">
      <c r="A76" s="1" t="str">
        <f>Pipeline_Control!B76</f>
        <v>DPS-0075</v>
      </c>
      <c r="B76" s="1" t="str">
        <f>Pipeline_Control!D76</f>
        <v>Nemah</v>
      </c>
      <c r="C76" s="1" t="str">
        <f>Pipeline_Control!G76</f>
        <v>Jing Santos</v>
      </c>
      <c r="D76" s="5">
        <f>Pipeline_Control!K76</f>
        <v>25000</v>
      </c>
      <c r="E76" s="4">
        <f>Pipeline_Control!J76</f>
        <v>0</v>
      </c>
      <c r="F76" s="4">
        <f>Pipeline_Control!X76</f>
        <v>0</v>
      </c>
      <c r="G76" s="4">
        <f>Pipeline_Control!Y76</f>
        <v>0</v>
      </c>
      <c r="H76" s="1" t="str">
        <f>Pipeline_Control!AI76</f>
        <v>Watchlist</v>
      </c>
      <c r="I76" s="1" t="str">
        <f>Pipeline_Control!AJ76</f>
        <v>Scenario Only - No Close Date</v>
      </c>
      <c r="J76" s="1" t="str">
        <f>Pipeline_Control!AK76</f>
        <v>N</v>
      </c>
      <c r="K76" s="5">
        <f>Pipeline_Control!AL76</f>
        <v>0</v>
      </c>
      <c r="L76" s="5" t="str">
        <f>Pipeline_Control!AM76</f>
        <v>N</v>
      </c>
      <c r="M76" s="5">
        <f>Pipeline_Control!AN76</f>
        <v>25000</v>
      </c>
      <c r="N76" s="1" t="str">
        <f>Pipeline_Control!AO76</f>
        <v>No expected close date</v>
      </c>
    </row>
    <row r="77" spans="1:14" ht="56">
      <c r="A77" s="1" t="str">
        <f>Pipeline_Control!B77</f>
        <v>DPS-0076</v>
      </c>
      <c r="B77" s="1" t="str">
        <f>Pipeline_Control!D77</f>
        <v>Nemah</v>
      </c>
      <c r="C77" s="1" t="str">
        <f>Pipeline_Control!G77</f>
        <v>Jing Santos</v>
      </c>
      <c r="D77" s="5">
        <f>Pipeline_Control!K77</f>
        <v>25000</v>
      </c>
      <c r="E77" s="4" t="str">
        <f>Pipeline_Control!J77</f>
        <v>2026-04-20</v>
      </c>
      <c r="F77" s="4" t="str">
        <f>Pipeline_Control!X77</f>
        <v>2026-04-20</v>
      </c>
      <c r="G77" s="4" t="str">
        <f>Pipeline_Control!Y77</f>
        <v>2026-05-20</v>
      </c>
      <c r="H77" s="1" t="str">
        <f>Pipeline_Control!AI77</f>
        <v>Converted/Partially Converted</v>
      </c>
      <c r="I77" s="1" t="str">
        <f>Pipeline_Control!AJ77</f>
        <v>Not Eligible - SO Mapping Review</v>
      </c>
      <c r="J77" s="1" t="str">
        <f>Pipeline_Control!AK77</f>
        <v>N</v>
      </c>
      <c r="K77" s="5">
        <f>Pipeline_Control!AL77</f>
        <v>0</v>
      </c>
      <c r="L77" s="5" t="str">
        <f>Pipeline_Control!AM77</f>
        <v>Y</v>
      </c>
      <c r="M77" s="5">
        <f>Pipeline_Control!AN77</f>
        <v>25000</v>
      </c>
      <c r="N77" s="1" t="str">
        <f>Pipeline_Control!AO77</f>
        <v>SO mapping must be resolved</v>
      </c>
    </row>
    <row r="78" spans="1:14">
      <c r="A78" s="1" t="str">
        <f>Pipeline_Control!B78</f>
        <v>DPS-0077</v>
      </c>
      <c r="B78" s="1" t="str">
        <f>Pipeline_Control!D78</f>
        <v>Nemah</v>
      </c>
      <c r="C78" s="1" t="str">
        <f>Pipeline_Control!G78</f>
        <v>Jing Santos</v>
      </c>
      <c r="D78" s="5">
        <f>Pipeline_Control!K78</f>
        <v>25000</v>
      </c>
      <c r="E78" s="4">
        <f>Pipeline_Control!J78</f>
        <v>0</v>
      </c>
      <c r="F78" s="4">
        <f>Pipeline_Control!X78</f>
        <v>0</v>
      </c>
      <c r="G78" s="4">
        <f>Pipeline_Control!Y78</f>
        <v>0</v>
      </c>
      <c r="H78" s="1" t="str">
        <f>Pipeline_Control!AI78</f>
        <v>Watchlist</v>
      </c>
      <c r="I78" s="1" t="str">
        <f>Pipeline_Control!AJ78</f>
        <v>Scenario Only - No Close Date</v>
      </c>
      <c r="J78" s="1" t="str">
        <f>Pipeline_Control!AK78</f>
        <v>N</v>
      </c>
      <c r="K78" s="5">
        <f>Pipeline_Control!AL78</f>
        <v>0</v>
      </c>
      <c r="L78" s="5" t="str">
        <f>Pipeline_Control!AM78</f>
        <v>N</v>
      </c>
      <c r="M78" s="5">
        <f>Pipeline_Control!AN78</f>
        <v>25000</v>
      </c>
      <c r="N78" s="1" t="str">
        <f>Pipeline_Control!AO78</f>
        <v>No expected close date</v>
      </c>
    </row>
    <row r="79" spans="1:14">
      <c r="A79" s="1" t="str">
        <f>Pipeline_Control!B79</f>
        <v>DPS-0078</v>
      </c>
      <c r="B79" s="1" t="str">
        <f>Pipeline_Control!D79</f>
        <v>Nemah</v>
      </c>
      <c r="C79" s="1" t="str">
        <f>Pipeline_Control!G79</f>
        <v>Jing Santos</v>
      </c>
      <c r="D79" s="5">
        <f>Pipeline_Control!K79</f>
        <v>25000</v>
      </c>
      <c r="E79" s="4">
        <f>Pipeline_Control!J79</f>
        <v>0</v>
      </c>
      <c r="F79" s="4">
        <f>Pipeline_Control!X79</f>
        <v>0</v>
      </c>
      <c r="G79" s="4">
        <f>Pipeline_Control!Y79</f>
        <v>0</v>
      </c>
      <c r="H79" s="1" t="str">
        <f>Pipeline_Control!AI79</f>
        <v>Watchlist</v>
      </c>
      <c r="I79" s="1" t="str">
        <f>Pipeline_Control!AJ79</f>
        <v>Scenario Only - No Close Date</v>
      </c>
      <c r="J79" s="1" t="str">
        <f>Pipeline_Control!AK79</f>
        <v>N</v>
      </c>
      <c r="K79" s="5">
        <f>Pipeline_Control!AL79</f>
        <v>0</v>
      </c>
      <c r="L79" s="5" t="str">
        <f>Pipeline_Control!AM79</f>
        <v>N</v>
      </c>
      <c r="M79" s="5">
        <f>Pipeline_Control!AN79</f>
        <v>25000</v>
      </c>
      <c r="N79" s="1" t="str">
        <f>Pipeline_Control!AO79</f>
        <v>No expected close date</v>
      </c>
    </row>
    <row r="80" spans="1:14">
      <c r="A80" s="1" t="str">
        <f>Pipeline_Control!B80</f>
        <v>DPS-0079</v>
      </c>
      <c r="B80" s="1" t="str">
        <f>Pipeline_Control!D80</f>
        <v>Nemah</v>
      </c>
      <c r="C80" s="1" t="str">
        <f>Pipeline_Control!G80</f>
        <v>Jing Santos</v>
      </c>
      <c r="D80" s="5">
        <f>Pipeline_Control!K80</f>
        <v>25000</v>
      </c>
      <c r="E80" s="4">
        <f>Pipeline_Control!J80</f>
        <v>0</v>
      </c>
      <c r="F80" s="4">
        <f>Pipeline_Control!X80</f>
        <v>0</v>
      </c>
      <c r="G80" s="4">
        <f>Pipeline_Control!Y80</f>
        <v>0</v>
      </c>
      <c r="H80" s="1" t="str">
        <f>Pipeline_Control!AI80</f>
        <v>Watchlist</v>
      </c>
      <c r="I80" s="1" t="str">
        <f>Pipeline_Control!AJ80</f>
        <v>Scenario Only - No Close Date</v>
      </c>
      <c r="J80" s="1" t="str">
        <f>Pipeline_Control!AK80</f>
        <v>N</v>
      </c>
      <c r="K80" s="5">
        <f>Pipeline_Control!AL80</f>
        <v>0</v>
      </c>
      <c r="L80" s="5" t="str">
        <f>Pipeline_Control!AM80</f>
        <v>N</v>
      </c>
      <c r="M80" s="5">
        <f>Pipeline_Control!AN80</f>
        <v>25000</v>
      </c>
      <c r="N80" s="1" t="str">
        <f>Pipeline_Control!AO80</f>
        <v>No expected close date</v>
      </c>
    </row>
    <row r="81" spans="1:14">
      <c r="A81" s="1" t="str">
        <f>Pipeline_Control!B81</f>
        <v>DPS-0080</v>
      </c>
      <c r="B81" s="1" t="str">
        <f>Pipeline_Control!D81</f>
        <v>PATTERN</v>
      </c>
      <c r="C81" s="1" t="str">
        <f>Pipeline_Control!G81</f>
        <v>Jing Santos</v>
      </c>
      <c r="D81" s="5">
        <f>Pipeline_Control!K81</f>
        <v>25000</v>
      </c>
      <c r="E81" s="4">
        <f>Pipeline_Control!J81</f>
        <v>0</v>
      </c>
      <c r="F81" s="4">
        <f>Pipeline_Control!X81</f>
        <v>0</v>
      </c>
      <c r="G81" s="4">
        <f>Pipeline_Control!Y81</f>
        <v>0</v>
      </c>
      <c r="H81" s="1" t="str">
        <f>Pipeline_Control!AI81</f>
        <v>Watchlist</v>
      </c>
      <c r="I81" s="1" t="str">
        <f>Pipeline_Control!AJ81</f>
        <v>Scenario Only - No Close Date</v>
      </c>
      <c r="J81" s="1" t="str">
        <f>Pipeline_Control!AK81</f>
        <v>N</v>
      </c>
      <c r="K81" s="5">
        <f>Pipeline_Control!AL81</f>
        <v>0</v>
      </c>
      <c r="L81" s="5" t="str">
        <f>Pipeline_Control!AM81</f>
        <v>N</v>
      </c>
      <c r="M81" s="5">
        <f>Pipeline_Control!AN81</f>
        <v>25000</v>
      </c>
      <c r="N81" s="1" t="str">
        <f>Pipeline_Control!AO81</f>
        <v>No expected close date</v>
      </c>
    </row>
    <row r="82" spans="1:14">
      <c r="A82" s="1" t="str">
        <f>Pipeline_Control!B82</f>
        <v>DPS-0081</v>
      </c>
      <c r="B82" s="1" t="str">
        <f>Pipeline_Control!D82</f>
        <v>PATTERN</v>
      </c>
      <c r="C82" s="1" t="str">
        <f>Pipeline_Control!G82</f>
        <v>Jing Santos</v>
      </c>
      <c r="D82" s="5">
        <f>Pipeline_Control!K82</f>
        <v>25000</v>
      </c>
      <c r="E82" s="4">
        <f>Pipeline_Control!J82</f>
        <v>0</v>
      </c>
      <c r="F82" s="4">
        <f>Pipeline_Control!X82</f>
        <v>0</v>
      </c>
      <c r="G82" s="4">
        <f>Pipeline_Control!Y82</f>
        <v>0</v>
      </c>
      <c r="H82" s="1" t="str">
        <f>Pipeline_Control!AI82</f>
        <v>Watchlist</v>
      </c>
      <c r="I82" s="1" t="str">
        <f>Pipeline_Control!AJ82</f>
        <v>Scenario Only - No Close Date</v>
      </c>
      <c r="J82" s="1" t="str">
        <f>Pipeline_Control!AK82</f>
        <v>N</v>
      </c>
      <c r="K82" s="5">
        <f>Pipeline_Control!AL82</f>
        <v>0</v>
      </c>
      <c r="L82" s="5" t="str">
        <f>Pipeline_Control!AM82</f>
        <v>N</v>
      </c>
      <c r="M82" s="5">
        <f>Pipeline_Control!AN82</f>
        <v>25000</v>
      </c>
      <c r="N82" s="1" t="str">
        <f>Pipeline_Control!AO82</f>
        <v>No expected close date</v>
      </c>
    </row>
    <row r="83" spans="1:14">
      <c r="A83" s="1" t="str">
        <f>Pipeline_Control!B83</f>
        <v>DPS-0082</v>
      </c>
      <c r="B83" s="1" t="str">
        <f>Pipeline_Control!D83</f>
        <v>PATTERN</v>
      </c>
      <c r="C83" s="1" t="str">
        <f>Pipeline_Control!G83</f>
        <v>Jing Santos</v>
      </c>
      <c r="D83" s="5">
        <f>Pipeline_Control!K83</f>
        <v>25000</v>
      </c>
      <c r="E83" s="4">
        <f>Pipeline_Control!J83</f>
        <v>0</v>
      </c>
      <c r="F83" s="4">
        <f>Pipeline_Control!X83</f>
        <v>0</v>
      </c>
      <c r="G83" s="4">
        <f>Pipeline_Control!Y83</f>
        <v>0</v>
      </c>
      <c r="H83" s="1" t="str">
        <f>Pipeline_Control!AI83</f>
        <v>Watchlist</v>
      </c>
      <c r="I83" s="1" t="str">
        <f>Pipeline_Control!AJ83</f>
        <v>Scenario Only - No Close Date</v>
      </c>
      <c r="J83" s="1" t="str">
        <f>Pipeline_Control!AK83</f>
        <v>N</v>
      </c>
      <c r="K83" s="5">
        <f>Pipeline_Control!AL83</f>
        <v>0</v>
      </c>
      <c r="L83" s="5" t="str">
        <f>Pipeline_Control!AM83</f>
        <v>N</v>
      </c>
      <c r="M83" s="5">
        <f>Pipeline_Control!AN83</f>
        <v>25000</v>
      </c>
      <c r="N83" s="1" t="str">
        <f>Pipeline_Control!AO83</f>
        <v>No expected close date</v>
      </c>
    </row>
    <row r="84" spans="1:14">
      <c r="A84" s="1" t="str">
        <f>Pipeline_Control!B84</f>
        <v>DPS-0083</v>
      </c>
      <c r="B84" s="1" t="str">
        <f>Pipeline_Control!D84</f>
        <v>PATTERN</v>
      </c>
      <c r="C84" s="1" t="str">
        <f>Pipeline_Control!G84</f>
        <v>Jing Santos</v>
      </c>
      <c r="D84" s="5">
        <f>Pipeline_Control!K84</f>
        <v>25000</v>
      </c>
      <c r="E84" s="4">
        <f>Pipeline_Control!J84</f>
        <v>0</v>
      </c>
      <c r="F84" s="4">
        <f>Pipeline_Control!X84</f>
        <v>0</v>
      </c>
      <c r="G84" s="4">
        <f>Pipeline_Control!Y84</f>
        <v>0</v>
      </c>
      <c r="H84" s="1" t="str">
        <f>Pipeline_Control!AI84</f>
        <v>Watchlist</v>
      </c>
      <c r="I84" s="1" t="str">
        <f>Pipeline_Control!AJ84</f>
        <v>Scenario Only - No Close Date</v>
      </c>
      <c r="J84" s="1" t="str">
        <f>Pipeline_Control!AK84</f>
        <v>N</v>
      </c>
      <c r="K84" s="5">
        <f>Pipeline_Control!AL84</f>
        <v>0</v>
      </c>
      <c r="L84" s="5" t="str">
        <f>Pipeline_Control!AM84</f>
        <v>N</v>
      </c>
      <c r="M84" s="5">
        <f>Pipeline_Control!AN84</f>
        <v>25000</v>
      </c>
      <c r="N84" s="1" t="str">
        <f>Pipeline_Control!AO84</f>
        <v>No expected close date</v>
      </c>
    </row>
    <row r="85" spans="1:14">
      <c r="A85" s="1" t="str">
        <f>Pipeline_Control!B85</f>
        <v>DPS-0084</v>
      </c>
      <c r="B85" s="1" t="str">
        <f>Pipeline_Control!D85</f>
        <v>PATTERN</v>
      </c>
      <c r="C85" s="1" t="str">
        <f>Pipeline_Control!G85</f>
        <v>Jing Santos</v>
      </c>
      <c r="D85" s="5">
        <f>Pipeline_Control!K85</f>
        <v>25000</v>
      </c>
      <c r="E85" s="4">
        <f>Pipeline_Control!J85</f>
        <v>0</v>
      </c>
      <c r="F85" s="4">
        <f>Pipeline_Control!X85</f>
        <v>0</v>
      </c>
      <c r="G85" s="4">
        <f>Pipeline_Control!Y85</f>
        <v>0</v>
      </c>
      <c r="H85" s="1" t="str">
        <f>Pipeline_Control!AI85</f>
        <v>Watchlist</v>
      </c>
      <c r="I85" s="1" t="str">
        <f>Pipeline_Control!AJ85</f>
        <v>Scenario Only - No Close Date</v>
      </c>
      <c r="J85" s="1" t="str">
        <f>Pipeline_Control!AK85</f>
        <v>N</v>
      </c>
      <c r="K85" s="5">
        <f>Pipeline_Control!AL85</f>
        <v>0</v>
      </c>
      <c r="L85" s="5" t="str">
        <f>Pipeline_Control!AM85</f>
        <v>N</v>
      </c>
      <c r="M85" s="5">
        <f>Pipeline_Control!AN85</f>
        <v>25000</v>
      </c>
      <c r="N85" s="1" t="str">
        <f>Pipeline_Control!AO85</f>
        <v>No expected close date</v>
      </c>
    </row>
    <row r="86" spans="1:14">
      <c r="A86" s="1" t="str">
        <f>Pipeline_Control!B86</f>
        <v>DPS-0085</v>
      </c>
      <c r="B86" s="1" t="str">
        <f>Pipeline_Control!D86</f>
        <v>PATTERN</v>
      </c>
      <c r="C86" s="1" t="str">
        <f>Pipeline_Control!G86</f>
        <v>Jing Santos</v>
      </c>
      <c r="D86" s="5">
        <f>Pipeline_Control!K86</f>
        <v>25000</v>
      </c>
      <c r="E86" s="4">
        <f>Pipeline_Control!J86</f>
        <v>0</v>
      </c>
      <c r="F86" s="4">
        <f>Pipeline_Control!X86</f>
        <v>0</v>
      </c>
      <c r="G86" s="4">
        <f>Pipeline_Control!Y86</f>
        <v>0</v>
      </c>
      <c r="H86" s="1" t="str">
        <f>Pipeline_Control!AI86</f>
        <v>Watchlist</v>
      </c>
      <c r="I86" s="1" t="str">
        <f>Pipeline_Control!AJ86</f>
        <v>Scenario Only - No Close Date</v>
      </c>
      <c r="J86" s="1" t="str">
        <f>Pipeline_Control!AK86</f>
        <v>N</v>
      </c>
      <c r="K86" s="5">
        <f>Pipeline_Control!AL86</f>
        <v>0</v>
      </c>
      <c r="L86" s="5" t="str">
        <f>Pipeline_Control!AM86</f>
        <v>N</v>
      </c>
      <c r="M86" s="5">
        <f>Pipeline_Control!AN86</f>
        <v>25000</v>
      </c>
      <c r="N86" s="1" t="str">
        <f>Pipeline_Control!AO86</f>
        <v>No expected close date</v>
      </c>
    </row>
    <row r="87" spans="1:14" ht="56">
      <c r="A87" s="1" t="str">
        <f>Pipeline_Control!B87</f>
        <v>DPS-0086</v>
      </c>
      <c r="B87" s="1" t="str">
        <f>Pipeline_Control!D87</f>
        <v>PATTERN</v>
      </c>
      <c r="C87" s="1" t="str">
        <f>Pipeline_Control!G87</f>
        <v>Jing Santos</v>
      </c>
      <c r="D87" s="5">
        <f>Pipeline_Control!K87</f>
        <v>20000</v>
      </c>
      <c r="E87" s="4" t="str">
        <f>Pipeline_Control!J87</f>
        <v>2026-02-10</v>
      </c>
      <c r="F87" s="4" t="str">
        <f>Pipeline_Control!X87</f>
        <v>2026-02-10</v>
      </c>
      <c r="G87" s="4" t="str">
        <f>Pipeline_Control!Y87</f>
        <v>2026-03-12</v>
      </c>
      <c r="H87" s="1" t="str">
        <f>Pipeline_Control!AI87</f>
        <v>Converted/Partially Converted</v>
      </c>
      <c r="I87" s="1" t="str">
        <f>Pipeline_Control!AJ87</f>
        <v>Eligible</v>
      </c>
      <c r="J87" s="1" t="str">
        <f>Pipeline_Control!AK87</f>
        <v>Y</v>
      </c>
      <c r="K87" s="5">
        <f>Pipeline_Control!AL87</f>
        <v>16374</v>
      </c>
      <c r="L87" s="5" t="str">
        <f>Pipeline_Control!AM87</f>
        <v>N</v>
      </c>
      <c r="M87" s="5">
        <f>Pipeline_Control!AN87</f>
        <v>3626</v>
      </c>
      <c r="N87" s="1" t="str">
        <f>Pipeline_Control!AO87</f>
        <v>Cash eligible</v>
      </c>
    </row>
    <row r="88" spans="1:14">
      <c r="A88" s="1" t="str">
        <f>Pipeline_Control!B88</f>
        <v>DPS-0087</v>
      </c>
      <c r="B88" s="1" t="str">
        <f>Pipeline_Control!D88</f>
        <v>PATTERN</v>
      </c>
      <c r="C88" s="1" t="str">
        <f>Pipeline_Control!G88</f>
        <v>Jing Santos</v>
      </c>
      <c r="D88" s="5">
        <f>Pipeline_Control!K88</f>
        <v>20000</v>
      </c>
      <c r="E88" s="4">
        <f>Pipeline_Control!J88</f>
        <v>0</v>
      </c>
      <c r="F88" s="4">
        <f>Pipeline_Control!X88</f>
        <v>0</v>
      </c>
      <c r="G88" s="4">
        <f>Pipeline_Control!Y88</f>
        <v>0</v>
      </c>
      <c r="H88" s="1" t="str">
        <f>Pipeline_Control!AI88</f>
        <v>Lost</v>
      </c>
      <c r="I88" s="1" t="str">
        <f>Pipeline_Control!AJ88</f>
        <v>Not Eligible - Lost</v>
      </c>
      <c r="J88" s="1" t="str">
        <f>Pipeline_Control!AK88</f>
        <v>N</v>
      </c>
      <c r="K88" s="5">
        <f>Pipeline_Control!AL88</f>
        <v>0</v>
      </c>
      <c r="L88" s="5" t="str">
        <f>Pipeline_Control!AM88</f>
        <v>N</v>
      </c>
      <c r="M88" s="5">
        <f>Pipeline_Control!AN88</f>
        <v>20000</v>
      </c>
      <c r="N88" s="1" t="str">
        <f>Pipeline_Control!AO88</f>
        <v>No expected close date</v>
      </c>
    </row>
    <row r="89" spans="1:14">
      <c r="A89" s="1" t="str">
        <f>Pipeline_Control!B89</f>
        <v>DPS-0088</v>
      </c>
      <c r="B89" s="1" t="str">
        <f>Pipeline_Control!D89</f>
        <v>PATTERN</v>
      </c>
      <c r="C89" s="1" t="str">
        <f>Pipeline_Control!G89</f>
        <v>Jing Santos</v>
      </c>
      <c r="D89" s="5">
        <f>Pipeline_Control!K89</f>
        <v>20000</v>
      </c>
      <c r="E89" s="4">
        <f>Pipeline_Control!J89</f>
        <v>0</v>
      </c>
      <c r="F89" s="4">
        <f>Pipeline_Control!X89</f>
        <v>0</v>
      </c>
      <c r="G89" s="4">
        <f>Pipeline_Control!Y89</f>
        <v>0</v>
      </c>
      <c r="H89" s="1" t="str">
        <f>Pipeline_Control!AI89</f>
        <v>Lost</v>
      </c>
      <c r="I89" s="1" t="str">
        <f>Pipeline_Control!AJ89</f>
        <v>Not Eligible - Lost</v>
      </c>
      <c r="J89" s="1" t="str">
        <f>Pipeline_Control!AK89</f>
        <v>N</v>
      </c>
      <c r="K89" s="5">
        <f>Pipeline_Control!AL89</f>
        <v>0</v>
      </c>
      <c r="L89" s="5" t="str">
        <f>Pipeline_Control!AM89</f>
        <v>N</v>
      </c>
      <c r="M89" s="5">
        <f>Pipeline_Control!AN89</f>
        <v>20000</v>
      </c>
      <c r="N89" s="1" t="str">
        <f>Pipeline_Control!AO89</f>
        <v>No expected close date</v>
      </c>
    </row>
    <row r="90" spans="1:14">
      <c r="A90" s="1" t="str">
        <f>Pipeline_Control!B90</f>
        <v>DPS-0089</v>
      </c>
      <c r="B90" s="1" t="str">
        <f>Pipeline_Control!D90</f>
        <v>EPICUREN</v>
      </c>
      <c r="C90" s="1" t="str">
        <f>Pipeline_Control!G90</f>
        <v>Jackie King</v>
      </c>
      <c r="D90" s="5">
        <f>Pipeline_Control!K90</f>
        <v>20000</v>
      </c>
      <c r="E90" s="4">
        <f>Pipeline_Control!J90</f>
        <v>0</v>
      </c>
      <c r="F90" s="4">
        <f>Pipeline_Control!X90</f>
        <v>0</v>
      </c>
      <c r="G90" s="4">
        <f>Pipeline_Control!Y90</f>
        <v>0</v>
      </c>
      <c r="H90" s="1" t="str">
        <f>Pipeline_Control!AI90</f>
        <v>Watchlist</v>
      </c>
      <c r="I90" s="1" t="str">
        <f>Pipeline_Control!AJ90</f>
        <v>Scenario Only - No Close Date</v>
      </c>
      <c r="J90" s="1" t="str">
        <f>Pipeline_Control!AK90</f>
        <v>N</v>
      </c>
      <c r="K90" s="5">
        <f>Pipeline_Control!AL90</f>
        <v>0</v>
      </c>
      <c r="L90" s="5" t="str">
        <f>Pipeline_Control!AM90</f>
        <v>N</v>
      </c>
      <c r="M90" s="5">
        <f>Pipeline_Control!AN90</f>
        <v>20000</v>
      </c>
      <c r="N90" s="1" t="str">
        <f>Pipeline_Control!AO90</f>
        <v>No expected close date</v>
      </c>
    </row>
    <row r="91" spans="1:14">
      <c r="A91" s="1" t="str">
        <f>Pipeline_Control!B91</f>
        <v>DPS-0090</v>
      </c>
      <c r="B91" s="1" t="str">
        <f>Pipeline_Control!D91</f>
        <v>GET W</v>
      </c>
      <c r="C91" s="1" t="str">
        <f>Pipeline_Control!G91</f>
        <v>Jing Santos</v>
      </c>
      <c r="D91" s="5">
        <f>Pipeline_Control!K91</f>
        <v>65000</v>
      </c>
      <c r="E91" s="4">
        <f>Pipeline_Control!J91</f>
        <v>0</v>
      </c>
      <c r="F91" s="4">
        <f>Pipeline_Control!X91</f>
        <v>0</v>
      </c>
      <c r="G91" s="4">
        <f>Pipeline_Control!Y91</f>
        <v>0</v>
      </c>
      <c r="H91" s="1" t="str">
        <f>Pipeline_Control!AI91</f>
        <v>Watchlist</v>
      </c>
      <c r="I91" s="1" t="str">
        <f>Pipeline_Control!AJ91</f>
        <v>Scenario Only - No Close Date</v>
      </c>
      <c r="J91" s="1" t="str">
        <f>Pipeline_Control!AK91</f>
        <v>N</v>
      </c>
      <c r="K91" s="5">
        <f>Pipeline_Control!AL91</f>
        <v>0</v>
      </c>
      <c r="L91" s="5" t="str">
        <f>Pipeline_Control!AM91</f>
        <v>N</v>
      </c>
      <c r="M91" s="5">
        <f>Pipeline_Control!AN91</f>
        <v>65000</v>
      </c>
      <c r="N91" s="1" t="str">
        <f>Pipeline_Control!AO91</f>
        <v>No expected close date</v>
      </c>
    </row>
    <row r="92" spans="1:14" ht="56">
      <c r="A92" s="1" t="str">
        <f>Pipeline_Control!B92</f>
        <v>DPS-0091</v>
      </c>
      <c r="B92" s="1" t="str">
        <f>Pipeline_Control!D92</f>
        <v>NewULife</v>
      </c>
      <c r="C92" s="1" t="str">
        <f>Pipeline_Control!G92</f>
        <v>Jackie King</v>
      </c>
      <c r="D92" s="5">
        <f>Pipeline_Control!K92</f>
        <v>18000</v>
      </c>
      <c r="E92" s="4" t="str">
        <f>Pipeline_Control!J92</f>
        <v>2026-01-01</v>
      </c>
      <c r="F92" s="4" t="str">
        <f>Pipeline_Control!X92</f>
        <v>2026-01-01</v>
      </c>
      <c r="G92" s="4" t="str">
        <f>Pipeline_Control!Y92</f>
        <v>2026-01-31</v>
      </c>
      <c r="H92" s="1" t="str">
        <f>Pipeline_Control!AI92</f>
        <v>Converted/Partially Converted</v>
      </c>
      <c r="I92" s="1" t="str">
        <f>Pipeline_Control!AJ92</f>
        <v>Eligible</v>
      </c>
      <c r="J92" s="1" t="str">
        <f>Pipeline_Control!AK92</f>
        <v>Y</v>
      </c>
      <c r="K92" s="5">
        <f>Pipeline_Control!AL92</f>
        <v>18207</v>
      </c>
      <c r="L92" s="5" t="str">
        <f>Pipeline_Control!AM92</f>
        <v>N</v>
      </c>
      <c r="M92" s="5">
        <f>Pipeline_Control!AN92</f>
        <v>0</v>
      </c>
      <c r="N92" s="1" t="str">
        <f>Pipeline_Control!AO92</f>
        <v>Cash eligible</v>
      </c>
    </row>
    <row r="93" spans="1:14">
      <c r="A93" s="1" t="str">
        <f>Pipeline_Control!B93</f>
        <v>DPS-0092</v>
      </c>
      <c r="B93" s="1" t="str">
        <f>Pipeline_Control!D93</f>
        <v>Nemah</v>
      </c>
      <c r="C93" s="1" t="str">
        <f>Pipeline_Control!G93</f>
        <v>Jing Santos</v>
      </c>
      <c r="D93" s="5">
        <f>Pipeline_Control!K93</f>
        <v>20000</v>
      </c>
      <c r="E93" s="4">
        <f>Pipeline_Control!J93</f>
        <v>0</v>
      </c>
      <c r="F93" s="4">
        <f>Pipeline_Control!X93</f>
        <v>0</v>
      </c>
      <c r="G93" s="4">
        <f>Pipeline_Control!Y93</f>
        <v>0</v>
      </c>
      <c r="H93" s="1" t="str">
        <f>Pipeline_Control!AI93</f>
        <v>Watchlist</v>
      </c>
      <c r="I93" s="1" t="str">
        <f>Pipeline_Control!AJ93</f>
        <v>Scenario Only - No Close Date</v>
      </c>
      <c r="J93" s="1" t="str">
        <f>Pipeline_Control!AK93</f>
        <v>N</v>
      </c>
      <c r="K93" s="5">
        <f>Pipeline_Control!AL93</f>
        <v>0</v>
      </c>
      <c r="L93" s="5" t="str">
        <f>Pipeline_Control!AM93</f>
        <v>N</v>
      </c>
      <c r="M93" s="5">
        <f>Pipeline_Control!AN93</f>
        <v>20000</v>
      </c>
      <c r="N93" s="1" t="str">
        <f>Pipeline_Control!AO93</f>
        <v>No expected close date</v>
      </c>
    </row>
    <row r="94" spans="1:14">
      <c r="A94" s="1" t="str">
        <f>Pipeline_Control!B94</f>
        <v>DPS-0093</v>
      </c>
      <c r="B94" s="1" t="str">
        <f>Pipeline_Control!D94</f>
        <v>PATTERN</v>
      </c>
      <c r="C94" s="1" t="str">
        <f>Pipeline_Control!G94</f>
        <v>Jing Santos</v>
      </c>
      <c r="D94" s="5">
        <f>Pipeline_Control!K94</f>
        <v>13000</v>
      </c>
      <c r="E94" s="4">
        <f>Pipeline_Control!J94</f>
        <v>0</v>
      </c>
      <c r="F94" s="4">
        <f>Pipeline_Control!X94</f>
        <v>0</v>
      </c>
      <c r="G94" s="4">
        <f>Pipeline_Control!Y94</f>
        <v>0</v>
      </c>
      <c r="H94" s="1" t="str">
        <f>Pipeline_Control!AI94</f>
        <v>Lost</v>
      </c>
      <c r="I94" s="1" t="str">
        <f>Pipeline_Control!AJ94</f>
        <v>Not Eligible - Lost</v>
      </c>
      <c r="J94" s="1" t="str">
        <f>Pipeline_Control!AK94</f>
        <v>N</v>
      </c>
      <c r="K94" s="5">
        <f>Pipeline_Control!AL94</f>
        <v>0</v>
      </c>
      <c r="L94" s="5" t="str">
        <f>Pipeline_Control!AM94</f>
        <v>N</v>
      </c>
      <c r="M94" s="5">
        <f>Pipeline_Control!AN94</f>
        <v>13000</v>
      </c>
      <c r="N94" s="1" t="str">
        <f>Pipeline_Control!AO94</f>
        <v>No expected close date</v>
      </c>
    </row>
    <row r="95" spans="1:14">
      <c r="A95" s="1" t="str">
        <f>Pipeline_Control!B95</f>
        <v>DPS-0094</v>
      </c>
      <c r="B95" s="1" t="str">
        <f>Pipeline_Control!D95</f>
        <v>PATTERN</v>
      </c>
      <c r="C95" s="1" t="str">
        <f>Pipeline_Control!G95</f>
        <v>Jing Santos</v>
      </c>
      <c r="D95" s="5">
        <f>Pipeline_Control!K95</f>
        <v>13000</v>
      </c>
      <c r="E95" s="4">
        <f>Pipeline_Control!J95</f>
        <v>0</v>
      </c>
      <c r="F95" s="4">
        <f>Pipeline_Control!X95</f>
        <v>0</v>
      </c>
      <c r="G95" s="4">
        <f>Pipeline_Control!Y95</f>
        <v>0</v>
      </c>
      <c r="H95" s="1" t="str">
        <f>Pipeline_Control!AI95</f>
        <v>Lost</v>
      </c>
      <c r="I95" s="1" t="str">
        <f>Pipeline_Control!AJ95</f>
        <v>Not Eligible - Lost</v>
      </c>
      <c r="J95" s="1" t="str">
        <f>Pipeline_Control!AK95</f>
        <v>N</v>
      </c>
      <c r="K95" s="5">
        <f>Pipeline_Control!AL95</f>
        <v>0</v>
      </c>
      <c r="L95" s="5" t="str">
        <f>Pipeline_Control!AM95</f>
        <v>N</v>
      </c>
      <c r="M95" s="5">
        <f>Pipeline_Control!AN95</f>
        <v>13000</v>
      </c>
      <c r="N95" s="1" t="str">
        <f>Pipeline_Control!AO95</f>
        <v>No expected close date</v>
      </c>
    </row>
    <row r="96" spans="1:14">
      <c r="A96" s="1" t="str">
        <f>Pipeline_Control!B96</f>
        <v>DPS-0095</v>
      </c>
      <c r="B96" s="1" t="str">
        <f>Pipeline_Control!D96</f>
        <v>3E</v>
      </c>
      <c r="C96" s="1" t="str">
        <f>Pipeline_Control!G96</f>
        <v>Jing Santos</v>
      </c>
      <c r="D96" s="5">
        <f>Pipeline_Control!K96</f>
        <v>20000</v>
      </c>
      <c r="E96" s="4">
        <f>Pipeline_Control!J96</f>
        <v>0</v>
      </c>
      <c r="F96" s="4">
        <f>Pipeline_Control!X96</f>
        <v>0</v>
      </c>
      <c r="G96" s="4">
        <f>Pipeline_Control!Y96</f>
        <v>0</v>
      </c>
      <c r="H96" s="1" t="str">
        <f>Pipeline_Control!AI96</f>
        <v>Watchlist</v>
      </c>
      <c r="I96" s="1" t="str">
        <f>Pipeline_Control!AJ96</f>
        <v>Scenario Only - No Close Date</v>
      </c>
      <c r="J96" s="1" t="str">
        <f>Pipeline_Control!AK96</f>
        <v>N</v>
      </c>
      <c r="K96" s="5">
        <f>Pipeline_Control!AL96</f>
        <v>0</v>
      </c>
      <c r="L96" s="5" t="str">
        <f>Pipeline_Control!AM96</f>
        <v>N</v>
      </c>
      <c r="M96" s="5">
        <f>Pipeline_Control!AN96</f>
        <v>20000</v>
      </c>
      <c r="N96" s="1" t="str">
        <f>Pipeline_Control!AO96</f>
        <v>No expected close date</v>
      </c>
    </row>
    <row r="97" spans="1:14">
      <c r="A97" s="1" t="str">
        <f>Pipeline_Control!B97</f>
        <v>DPS-0096</v>
      </c>
      <c r="B97" s="1" t="str">
        <f>Pipeline_Control!D97</f>
        <v>3E</v>
      </c>
      <c r="C97" s="1" t="str">
        <f>Pipeline_Control!G97</f>
        <v>Jing Santos</v>
      </c>
      <c r="D97" s="5">
        <f>Pipeline_Control!K97</f>
        <v>20000</v>
      </c>
      <c r="E97" s="4">
        <f>Pipeline_Control!J97</f>
        <v>0</v>
      </c>
      <c r="F97" s="4">
        <f>Pipeline_Control!X97</f>
        <v>0</v>
      </c>
      <c r="G97" s="4">
        <f>Pipeline_Control!Y97</f>
        <v>0</v>
      </c>
      <c r="H97" s="1" t="str">
        <f>Pipeline_Control!AI97</f>
        <v>Watchlist</v>
      </c>
      <c r="I97" s="1" t="str">
        <f>Pipeline_Control!AJ97</f>
        <v>Scenario Only - No Close Date</v>
      </c>
      <c r="J97" s="1" t="str">
        <f>Pipeline_Control!AK97</f>
        <v>N</v>
      </c>
      <c r="K97" s="5">
        <f>Pipeline_Control!AL97</f>
        <v>0</v>
      </c>
      <c r="L97" s="5" t="str">
        <f>Pipeline_Control!AM97</f>
        <v>N</v>
      </c>
      <c r="M97" s="5">
        <f>Pipeline_Control!AN97</f>
        <v>20000</v>
      </c>
      <c r="N97" s="1" t="str">
        <f>Pipeline_Control!AO97</f>
        <v>No expected close date</v>
      </c>
    </row>
    <row r="98" spans="1:14">
      <c r="A98" s="1" t="str">
        <f>Pipeline_Control!B98</f>
        <v>DPS-0097</v>
      </c>
      <c r="B98" s="1" t="str">
        <f>Pipeline_Control!D98</f>
        <v>EMI JAY</v>
      </c>
      <c r="C98" s="1" t="str">
        <f>Pipeline_Control!G98</f>
        <v>Jing Santos</v>
      </c>
      <c r="D98" s="5">
        <f>Pipeline_Control!K98</f>
        <v>10000</v>
      </c>
      <c r="E98" s="4">
        <f>Pipeline_Control!J98</f>
        <v>0</v>
      </c>
      <c r="F98" s="4">
        <f>Pipeline_Control!X98</f>
        <v>0</v>
      </c>
      <c r="G98" s="4">
        <f>Pipeline_Control!Y98</f>
        <v>0</v>
      </c>
      <c r="H98" s="1" t="str">
        <f>Pipeline_Control!AI98</f>
        <v>Watchlist</v>
      </c>
      <c r="I98" s="1" t="str">
        <f>Pipeline_Control!AJ98</f>
        <v>Scenario Only - No Close Date</v>
      </c>
      <c r="J98" s="1" t="str">
        <f>Pipeline_Control!AK98</f>
        <v>N</v>
      </c>
      <c r="K98" s="5">
        <f>Pipeline_Control!AL98</f>
        <v>0</v>
      </c>
      <c r="L98" s="5" t="str">
        <f>Pipeline_Control!AM98</f>
        <v>N</v>
      </c>
      <c r="M98" s="5">
        <f>Pipeline_Control!AN98</f>
        <v>10000</v>
      </c>
      <c r="N98" s="1" t="str">
        <f>Pipeline_Control!AO98</f>
        <v>No expected close date</v>
      </c>
    </row>
    <row r="99" spans="1:14">
      <c r="A99" s="1" t="str">
        <f>Pipeline_Control!B99</f>
        <v>DPS-0098</v>
      </c>
      <c r="B99" s="1" t="str">
        <f>Pipeline_Control!D99</f>
        <v>EMI JAY</v>
      </c>
      <c r="C99" s="1" t="str">
        <f>Pipeline_Control!G99</f>
        <v>Jing Santos</v>
      </c>
      <c r="D99" s="5">
        <f>Pipeline_Control!K99</f>
        <v>10000</v>
      </c>
      <c r="E99" s="4">
        <f>Pipeline_Control!J99</f>
        <v>0</v>
      </c>
      <c r="F99" s="4">
        <f>Pipeline_Control!X99</f>
        <v>0</v>
      </c>
      <c r="G99" s="4">
        <f>Pipeline_Control!Y99</f>
        <v>0</v>
      </c>
      <c r="H99" s="1" t="str">
        <f>Pipeline_Control!AI99</f>
        <v>Watchlist</v>
      </c>
      <c r="I99" s="1" t="str">
        <f>Pipeline_Control!AJ99</f>
        <v>Scenario Only - No Close Date</v>
      </c>
      <c r="J99" s="1" t="str">
        <f>Pipeline_Control!AK99</f>
        <v>N</v>
      </c>
      <c r="K99" s="5">
        <f>Pipeline_Control!AL99</f>
        <v>0</v>
      </c>
      <c r="L99" s="5" t="str">
        <f>Pipeline_Control!AM99</f>
        <v>N</v>
      </c>
      <c r="M99" s="5">
        <f>Pipeline_Control!AN99</f>
        <v>10000</v>
      </c>
      <c r="N99" s="1" t="str">
        <f>Pipeline_Control!AO99</f>
        <v>No expected close date</v>
      </c>
    </row>
    <row r="100" spans="1:14" ht="56">
      <c r="A100" s="1" t="str">
        <f>Pipeline_Control!B100</f>
        <v>DPS-0099</v>
      </c>
      <c r="B100" s="1" t="str">
        <f>Pipeline_Control!D100</f>
        <v>EMI JAY</v>
      </c>
      <c r="C100" s="1" t="str">
        <f>Pipeline_Control!G100</f>
        <v>Jing Santos</v>
      </c>
      <c r="D100" s="5">
        <f>Pipeline_Control!K100</f>
        <v>10000</v>
      </c>
      <c r="E100" s="4" t="str">
        <f>Pipeline_Control!J100</f>
        <v>2026-04-20</v>
      </c>
      <c r="F100" s="4" t="str">
        <f>Pipeline_Control!X100</f>
        <v>2026-04-20</v>
      </c>
      <c r="G100" s="4" t="str">
        <f>Pipeline_Control!Y100</f>
        <v>2026-05-20</v>
      </c>
      <c r="H100" s="1" t="str">
        <f>Pipeline_Control!AI100</f>
        <v>Converted/Partially Converted</v>
      </c>
      <c r="I100" s="1" t="str">
        <f>Pipeline_Control!AJ100</f>
        <v>Eligible</v>
      </c>
      <c r="J100" s="1" t="str">
        <f>Pipeline_Control!AK100</f>
        <v>Y</v>
      </c>
      <c r="K100" s="5">
        <f>Pipeline_Control!AL100</f>
        <v>44550</v>
      </c>
      <c r="L100" s="5" t="str">
        <f>Pipeline_Control!AM100</f>
        <v>N</v>
      </c>
      <c r="M100" s="5">
        <f>Pipeline_Control!AN100</f>
        <v>0</v>
      </c>
      <c r="N100" s="1" t="str">
        <f>Pipeline_Control!AO100</f>
        <v>Cash eligible</v>
      </c>
    </row>
    <row r="101" spans="1:14" ht="56">
      <c r="A101" s="1" t="str">
        <f>Pipeline_Control!B101</f>
        <v>DPS-0100</v>
      </c>
      <c r="B101" s="1" t="str">
        <f>Pipeline_Control!D101</f>
        <v>MISTR</v>
      </c>
      <c r="C101" s="1" t="str">
        <f>Pipeline_Control!G101</f>
        <v>Jackie King</v>
      </c>
      <c r="D101" s="5">
        <f>Pipeline_Control!K101</f>
        <v>15000</v>
      </c>
      <c r="E101" s="4" t="str">
        <f>Pipeline_Control!J101</f>
        <v>2026-03-25</v>
      </c>
      <c r="F101" s="4" t="str">
        <f>Pipeline_Control!X101</f>
        <v>2026-03-25</v>
      </c>
      <c r="G101" s="4" t="str">
        <f>Pipeline_Control!Y101</f>
        <v>2026-04-24</v>
      </c>
      <c r="H101" s="1" t="str">
        <f>Pipeline_Control!AI101</f>
        <v>Converted/Partially Converted</v>
      </c>
      <c r="I101" s="1" t="str">
        <f>Pipeline_Control!AJ101</f>
        <v>Not Eligible - SO Mapping Review</v>
      </c>
      <c r="J101" s="1" t="str">
        <f>Pipeline_Control!AK101</f>
        <v>N</v>
      </c>
      <c r="K101" s="5">
        <f>Pipeline_Control!AL101</f>
        <v>0</v>
      </c>
      <c r="L101" s="5" t="str">
        <f>Pipeline_Control!AM101</f>
        <v>Y</v>
      </c>
      <c r="M101" s="5">
        <f>Pipeline_Control!AN101</f>
        <v>15000</v>
      </c>
      <c r="N101" s="1" t="str">
        <f>Pipeline_Control!AO101</f>
        <v>SO mapping must be resolved</v>
      </c>
    </row>
    <row r="102" spans="1:14">
      <c r="A102" s="1" t="str">
        <f>Pipeline_Control!B102</f>
        <v>DPS-0101</v>
      </c>
      <c r="B102" s="1" t="str">
        <f>Pipeline_Control!D102</f>
        <v>SPRAE</v>
      </c>
      <c r="C102" s="1" t="str">
        <f>Pipeline_Control!G102</f>
        <v>Jing Santos</v>
      </c>
      <c r="D102" s="5">
        <f>Pipeline_Control!K102</f>
        <v>10000</v>
      </c>
      <c r="E102" s="4">
        <f>Pipeline_Control!J102</f>
        <v>0</v>
      </c>
      <c r="F102" s="4">
        <f>Pipeline_Control!X102</f>
        <v>0</v>
      </c>
      <c r="G102" s="4">
        <f>Pipeline_Control!Y102</f>
        <v>0</v>
      </c>
      <c r="H102" s="1" t="str">
        <f>Pipeline_Control!AI102</f>
        <v>Watchlist</v>
      </c>
      <c r="I102" s="1" t="str">
        <f>Pipeline_Control!AJ102</f>
        <v>Scenario Only - No Close Date</v>
      </c>
      <c r="J102" s="1" t="str">
        <f>Pipeline_Control!AK102</f>
        <v>N</v>
      </c>
      <c r="K102" s="5">
        <f>Pipeline_Control!AL102</f>
        <v>0</v>
      </c>
      <c r="L102" s="5" t="str">
        <f>Pipeline_Control!AM102</f>
        <v>N</v>
      </c>
      <c r="M102" s="5">
        <f>Pipeline_Control!AN102</f>
        <v>10000</v>
      </c>
      <c r="N102" s="1" t="str">
        <f>Pipeline_Control!AO102</f>
        <v>No expected close date</v>
      </c>
    </row>
    <row r="103" spans="1:14">
      <c r="A103" s="1" t="str">
        <f>Pipeline_Control!B103</f>
        <v>DPS-0102</v>
      </c>
      <c r="B103" s="1" t="str">
        <f>Pipeline_Control!D103</f>
        <v>SPRAE</v>
      </c>
      <c r="C103" s="1" t="str">
        <f>Pipeline_Control!G103</f>
        <v>Jing Santos</v>
      </c>
      <c r="D103" s="5">
        <f>Pipeline_Control!K103</f>
        <v>10000</v>
      </c>
      <c r="E103" s="4">
        <f>Pipeline_Control!J103</f>
        <v>0</v>
      </c>
      <c r="F103" s="4">
        <f>Pipeline_Control!X103</f>
        <v>0</v>
      </c>
      <c r="G103" s="4">
        <f>Pipeline_Control!Y103</f>
        <v>0</v>
      </c>
      <c r="H103" s="1" t="str">
        <f>Pipeline_Control!AI103</f>
        <v>Watchlist</v>
      </c>
      <c r="I103" s="1" t="str">
        <f>Pipeline_Control!AJ103</f>
        <v>Scenario Only - No Close Date</v>
      </c>
      <c r="J103" s="1" t="str">
        <f>Pipeline_Control!AK103</f>
        <v>N</v>
      </c>
      <c r="K103" s="5">
        <f>Pipeline_Control!AL103</f>
        <v>0</v>
      </c>
      <c r="L103" s="5" t="str">
        <f>Pipeline_Control!AM103</f>
        <v>N</v>
      </c>
      <c r="M103" s="5">
        <f>Pipeline_Control!AN103</f>
        <v>10000</v>
      </c>
      <c r="N103" s="1" t="str">
        <f>Pipeline_Control!AO103</f>
        <v>No expected close date</v>
      </c>
    </row>
    <row r="104" spans="1:14">
      <c r="A104" s="1" t="str">
        <f>Pipeline_Control!B104</f>
        <v>DPS-0103</v>
      </c>
      <c r="B104" s="1" t="str">
        <f>Pipeline_Control!D104</f>
        <v>SPRAE</v>
      </c>
      <c r="C104" s="1" t="str">
        <f>Pipeline_Control!G104</f>
        <v>Jing Santos</v>
      </c>
      <c r="D104" s="5">
        <f>Pipeline_Control!K104</f>
        <v>10000</v>
      </c>
      <c r="E104" s="4">
        <f>Pipeline_Control!J104</f>
        <v>0</v>
      </c>
      <c r="F104" s="4">
        <f>Pipeline_Control!X104</f>
        <v>0</v>
      </c>
      <c r="G104" s="4">
        <f>Pipeline_Control!Y104</f>
        <v>0</v>
      </c>
      <c r="H104" s="1" t="str">
        <f>Pipeline_Control!AI104</f>
        <v>Watchlist</v>
      </c>
      <c r="I104" s="1" t="str">
        <f>Pipeline_Control!AJ104</f>
        <v>Scenario Only - No Close Date</v>
      </c>
      <c r="J104" s="1" t="str">
        <f>Pipeline_Control!AK104</f>
        <v>N</v>
      </c>
      <c r="K104" s="5">
        <f>Pipeline_Control!AL104</f>
        <v>0</v>
      </c>
      <c r="L104" s="5" t="str">
        <f>Pipeline_Control!AM104</f>
        <v>N</v>
      </c>
      <c r="M104" s="5">
        <f>Pipeline_Control!AN104</f>
        <v>10000</v>
      </c>
      <c r="N104" s="1" t="str">
        <f>Pipeline_Control!AO104</f>
        <v>No expected close date</v>
      </c>
    </row>
    <row r="105" spans="1:14">
      <c r="A105" s="1" t="str">
        <f>Pipeline_Control!B105</f>
        <v>DPS-0104</v>
      </c>
      <c r="B105" s="1" t="str">
        <f>Pipeline_Control!D105</f>
        <v>SPRAE</v>
      </c>
      <c r="C105" s="1" t="str">
        <f>Pipeline_Control!G105</f>
        <v>Jing Santos</v>
      </c>
      <c r="D105" s="5">
        <f>Pipeline_Control!K105</f>
        <v>10000</v>
      </c>
      <c r="E105" s="4">
        <f>Pipeline_Control!J105</f>
        <v>0</v>
      </c>
      <c r="F105" s="4">
        <f>Pipeline_Control!X105</f>
        <v>0</v>
      </c>
      <c r="G105" s="4">
        <f>Pipeline_Control!Y105</f>
        <v>0</v>
      </c>
      <c r="H105" s="1" t="str">
        <f>Pipeline_Control!AI105</f>
        <v>Watchlist</v>
      </c>
      <c r="I105" s="1" t="str">
        <f>Pipeline_Control!AJ105</f>
        <v>Scenario Only - No Close Date</v>
      </c>
      <c r="J105" s="1" t="str">
        <f>Pipeline_Control!AK105</f>
        <v>N</v>
      </c>
      <c r="K105" s="5">
        <f>Pipeline_Control!AL105</f>
        <v>0</v>
      </c>
      <c r="L105" s="5" t="str">
        <f>Pipeline_Control!AM105</f>
        <v>N</v>
      </c>
      <c r="M105" s="5">
        <f>Pipeline_Control!AN105</f>
        <v>10000</v>
      </c>
      <c r="N105" s="1" t="str">
        <f>Pipeline_Control!AO105</f>
        <v>No expected close date</v>
      </c>
    </row>
    <row r="106" spans="1:14">
      <c r="A106" s="1" t="str">
        <f>Pipeline_Control!B106</f>
        <v>DPS-0105</v>
      </c>
      <c r="B106" s="1" t="str">
        <f>Pipeline_Control!D106</f>
        <v>Practical Alchemy</v>
      </c>
      <c r="C106" s="1" t="str">
        <f>Pipeline_Control!G106</f>
        <v>Jing Santos</v>
      </c>
      <c r="D106" s="5">
        <f>Pipeline_Control!K106</f>
        <v>10000</v>
      </c>
      <c r="E106" s="4">
        <f>Pipeline_Control!J106</f>
        <v>0</v>
      </c>
      <c r="F106" s="4">
        <f>Pipeline_Control!X106</f>
        <v>0</v>
      </c>
      <c r="G106" s="4">
        <f>Pipeline_Control!Y106</f>
        <v>0</v>
      </c>
      <c r="H106" s="1" t="str">
        <f>Pipeline_Control!AI106</f>
        <v>Watchlist</v>
      </c>
      <c r="I106" s="1" t="str">
        <f>Pipeline_Control!AJ106</f>
        <v>Scenario Only - No Close Date</v>
      </c>
      <c r="J106" s="1" t="str">
        <f>Pipeline_Control!AK106</f>
        <v>N</v>
      </c>
      <c r="K106" s="5">
        <f>Pipeline_Control!AL106</f>
        <v>0</v>
      </c>
      <c r="L106" s="5" t="str">
        <f>Pipeline_Control!AM106</f>
        <v>N</v>
      </c>
      <c r="M106" s="5">
        <f>Pipeline_Control!AN106</f>
        <v>10000</v>
      </c>
      <c r="N106" s="1" t="str">
        <f>Pipeline_Control!AO106</f>
        <v>No expected close date</v>
      </c>
    </row>
    <row r="107" spans="1:14">
      <c r="A107" s="1" t="str">
        <f>Pipeline_Control!B107</f>
        <v>DPS-0106</v>
      </c>
      <c r="B107" s="1" t="str">
        <f>Pipeline_Control!D107</f>
        <v>Practical Alchemy</v>
      </c>
      <c r="C107" s="1" t="str">
        <f>Pipeline_Control!G107</f>
        <v>Jing Santos</v>
      </c>
      <c r="D107" s="5">
        <f>Pipeline_Control!K107</f>
        <v>10000</v>
      </c>
      <c r="E107" s="4">
        <f>Pipeline_Control!J107</f>
        <v>0</v>
      </c>
      <c r="F107" s="4">
        <f>Pipeline_Control!X107</f>
        <v>0</v>
      </c>
      <c r="G107" s="4">
        <f>Pipeline_Control!Y107</f>
        <v>0</v>
      </c>
      <c r="H107" s="1" t="str">
        <f>Pipeline_Control!AI107</f>
        <v>Watchlist</v>
      </c>
      <c r="I107" s="1" t="str">
        <f>Pipeline_Control!AJ107</f>
        <v>Scenario Only - No Close Date</v>
      </c>
      <c r="J107" s="1" t="str">
        <f>Pipeline_Control!AK107</f>
        <v>N</v>
      </c>
      <c r="K107" s="5">
        <f>Pipeline_Control!AL107</f>
        <v>0</v>
      </c>
      <c r="L107" s="5" t="str">
        <f>Pipeline_Control!AM107</f>
        <v>N</v>
      </c>
      <c r="M107" s="5">
        <f>Pipeline_Control!AN107</f>
        <v>10000</v>
      </c>
      <c r="N107" s="1" t="str">
        <f>Pipeline_Control!AO107</f>
        <v>No expected close date</v>
      </c>
    </row>
    <row r="108" spans="1:14" ht="28">
      <c r="A108" s="1" t="str">
        <f>Pipeline_Control!B108</f>
        <v>DPS-0003</v>
      </c>
      <c r="B108" s="1" t="str">
        <f>Pipeline_Control!D108</f>
        <v>HANX</v>
      </c>
      <c r="C108" s="1" t="str">
        <f>Pipeline_Control!G108</f>
        <v>Jackie King</v>
      </c>
      <c r="D108" s="5">
        <f>Pipeline_Control!K108</f>
        <v>2000000</v>
      </c>
      <c r="E108" s="4" t="str">
        <f>Pipeline_Control!J108</f>
        <v>2026-01-01</v>
      </c>
      <c r="F108" s="4" t="str">
        <f>Pipeline_Control!X108</f>
        <v>2026-01-01</v>
      </c>
      <c r="G108" s="4" t="str">
        <f>Pipeline_Control!Y108</f>
        <v>2026-01-31</v>
      </c>
      <c r="H108" s="1" t="str">
        <f>Pipeline_Control!AI108</f>
        <v>Active</v>
      </c>
      <c r="I108" s="1" t="str">
        <f>Pipeline_Control!AJ108</f>
        <v>Eligible</v>
      </c>
      <c r="J108" s="1" t="str">
        <f>Pipeline_Control!AK108</f>
        <v>Y</v>
      </c>
      <c r="K108" s="5">
        <f>Pipeline_Control!AL108</f>
        <v>0</v>
      </c>
      <c r="L108" s="5" t="str">
        <f>Pipeline_Control!AM108</f>
        <v>N</v>
      </c>
      <c r="M108" s="5">
        <f>Pipeline_Control!AN108</f>
        <v>2000000</v>
      </c>
      <c r="N108" s="1" t="str">
        <f>Pipeline_Control!AO108</f>
        <v>Cash eligible</v>
      </c>
    </row>
    <row r="109" spans="1:14" ht="28">
      <c r="A109" s="1" t="str">
        <f>Pipeline_Control!B109</f>
        <v>DPS-0008</v>
      </c>
      <c r="B109" s="1" t="str">
        <f>Pipeline_Control!D109</f>
        <v>HANX</v>
      </c>
      <c r="C109" s="1" t="str">
        <f>Pipeline_Control!G109</f>
        <v>Jackie King</v>
      </c>
      <c r="D109" s="5">
        <f>Pipeline_Control!K109</f>
        <v>1000000</v>
      </c>
      <c r="E109" s="4" t="str">
        <f>Pipeline_Control!J109</f>
        <v>2026-01-01</v>
      </c>
      <c r="F109" s="4" t="str">
        <f>Pipeline_Control!X109</f>
        <v>2026-01-01</v>
      </c>
      <c r="G109" s="4" t="str">
        <f>Pipeline_Control!Y109</f>
        <v>2026-01-31</v>
      </c>
      <c r="H109" s="1" t="str">
        <f>Pipeline_Control!AI109</f>
        <v>Active</v>
      </c>
      <c r="I109" s="1" t="str">
        <f>Pipeline_Control!AJ109</f>
        <v>Eligible</v>
      </c>
      <c r="J109" s="1" t="str">
        <f>Pipeline_Control!AK109</f>
        <v>Y</v>
      </c>
      <c r="K109" s="5">
        <f>Pipeline_Control!AL109</f>
        <v>0</v>
      </c>
      <c r="L109" s="5" t="str">
        <f>Pipeline_Control!AM109</f>
        <v>N</v>
      </c>
      <c r="M109" s="5">
        <f>Pipeline_Control!AN109</f>
        <v>1000000</v>
      </c>
      <c r="N109" s="1" t="str">
        <f>Pipeline_Control!AO109</f>
        <v>Cash eligible</v>
      </c>
    </row>
    <row r="110" spans="1:14">
      <c r="A110" s="1" t="str">
        <f>Pipeline_Control!B110</f>
        <v>DPS-0021</v>
      </c>
      <c r="B110" s="1" t="str">
        <f>Pipeline_Control!D110</f>
        <v>Fine Fragrance</v>
      </c>
      <c r="C110" s="1" t="str">
        <f>Pipeline_Control!G110</f>
        <v>Jing Santos</v>
      </c>
      <c r="D110" s="5">
        <f>Pipeline_Control!K110</f>
        <v>500000</v>
      </c>
      <c r="E110" s="4">
        <f>Pipeline_Control!J110</f>
        <v>0</v>
      </c>
      <c r="F110" s="4">
        <f>Pipeline_Control!X110</f>
        <v>0</v>
      </c>
      <c r="G110" s="4">
        <f>Pipeline_Control!Y110</f>
        <v>0</v>
      </c>
      <c r="H110" s="1" t="str">
        <f>Pipeline_Control!AI110</f>
        <v>Watchlist</v>
      </c>
      <c r="I110" s="1" t="str">
        <f>Pipeline_Control!AJ110</f>
        <v>Scenario Only - No Close Date</v>
      </c>
      <c r="J110" s="1" t="str">
        <f>Pipeline_Control!AK110</f>
        <v>N</v>
      </c>
      <c r="K110" s="5">
        <f>Pipeline_Control!AL110</f>
        <v>0</v>
      </c>
      <c r="L110" s="5" t="str">
        <f>Pipeline_Control!AM110</f>
        <v>N</v>
      </c>
      <c r="M110" s="5">
        <f>Pipeline_Control!AN110</f>
        <v>500000</v>
      </c>
      <c r="N110" s="1" t="str">
        <f>Pipeline_Control!AO110</f>
        <v>No expected close date</v>
      </c>
    </row>
    <row r="111" spans="1:14">
      <c r="A111" s="1" t="str">
        <f>Pipeline_Control!B111</f>
        <v>DPS-0112</v>
      </c>
      <c r="B111" s="1">
        <f>Pipeline_Control!D111</f>
        <v>0</v>
      </c>
      <c r="C111" s="1">
        <f>Pipeline_Control!G111</f>
        <v>0</v>
      </c>
      <c r="D111" s="5">
        <f>Pipeline_Control!K111</f>
        <v>0</v>
      </c>
      <c r="E111" s="4">
        <f>Pipeline_Control!J111</f>
        <v>0</v>
      </c>
      <c r="F111" s="4">
        <f>Pipeline_Control!X111</f>
        <v>0</v>
      </c>
      <c r="G111" s="4">
        <f>Pipeline_Control!Y111</f>
        <v>0</v>
      </c>
      <c r="H111" s="1" t="str">
        <f>Pipeline_Control!AI111</f>
        <v>Watchlist</v>
      </c>
      <c r="I111" s="1" t="str">
        <f>Pipeline_Control!AJ111</f>
        <v>Scenario Only - No Close Date</v>
      </c>
      <c r="J111" s="1" t="str">
        <f>Pipeline_Control!AK111</f>
        <v>N</v>
      </c>
      <c r="K111" s="5">
        <f>Pipeline_Control!AL111</f>
        <v>0</v>
      </c>
      <c r="L111" s="5" t="str">
        <f>Pipeline_Control!AM111</f>
        <v>N</v>
      </c>
      <c r="M111" s="5">
        <f>Pipeline_Control!AN111</f>
        <v>0</v>
      </c>
      <c r="N111" s="1" t="str">
        <f>Pipeline_Control!AO111</f>
        <v>No expected close date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workbookViewId="0"/>
  </sheetViews>
  <sheetFormatPr defaultRowHeight="14"/>
  <cols>
    <col min="1" max="2" width="16" customWidth="1"/>
    <col min="3" max="3" width="20" customWidth="1"/>
    <col min="4" max="4" width="22" customWidth="1"/>
    <col min="5" max="5" width="16" customWidth="1"/>
    <col min="6" max="6" width="42" customWidth="1"/>
  </cols>
  <sheetData>
    <row r="1" spans="1:6">
      <c r="A1" s="2" t="s">
        <v>436</v>
      </c>
      <c r="B1" s="2" t="s">
        <v>437</v>
      </c>
      <c r="C1" s="2" t="s">
        <v>438</v>
      </c>
      <c r="D1" s="2" t="s">
        <v>439</v>
      </c>
      <c r="E1" s="2" t="s">
        <v>440</v>
      </c>
      <c r="F1" s="2" t="s">
        <v>20</v>
      </c>
    </row>
    <row r="2" spans="1:6">
      <c r="A2" s="4">
        <v>46160</v>
      </c>
      <c r="B2" s="4">
        <f t="shared" ref="B2:B27" si="0">A2+6</f>
        <v>46166</v>
      </c>
      <c r="C2" s="5">
        <f>SUMIFS(Cash_Eligibility!$M:$M,Cash_Eligibility!$I:$I,"Eligible",Cash_Eligibility!$G:$G,"&gt;="&amp;A2,Cash_Eligibility!$G:$G,"&lt;="&amp;B2)</f>
        <v>0</v>
      </c>
      <c r="D2" s="5">
        <f>SUMIFS(Cash_Eligibility!$M:$M,Cash_Eligibility!$I:$I,"Scenario*",Cash_Eligibility!$G:$G,"&gt;="&amp;A2,Cash_Eligibility!$G:$G,"&lt;="&amp;B2)</f>
        <v>0</v>
      </c>
      <c r="E2" s="5"/>
      <c r="F2" s="1" t="s">
        <v>441</v>
      </c>
    </row>
    <row r="3" spans="1:6">
      <c r="A3" s="4">
        <v>46167</v>
      </c>
      <c r="B3" s="4">
        <f t="shared" si="0"/>
        <v>46173</v>
      </c>
      <c r="C3" s="5">
        <f>SUMIFS(Cash_Eligibility!$M:$M,Cash_Eligibility!$I:$I,"Eligible",Cash_Eligibility!$G:$G,"&gt;="&amp;A3,Cash_Eligibility!$G:$G,"&lt;="&amp;B3)</f>
        <v>0</v>
      </c>
      <c r="D3" s="5">
        <f>SUMIFS(Cash_Eligibility!$M:$M,Cash_Eligibility!$I:$I,"Scenario*",Cash_Eligibility!$G:$G,"&gt;="&amp;A3,Cash_Eligibility!$G:$G,"&lt;="&amp;B3)</f>
        <v>0</v>
      </c>
      <c r="E3" s="5"/>
      <c r="F3" s="1" t="s">
        <v>441</v>
      </c>
    </row>
    <row r="4" spans="1:6">
      <c r="A4" s="4">
        <v>46174</v>
      </c>
      <c r="B4" s="4">
        <f t="shared" si="0"/>
        <v>46180</v>
      </c>
      <c r="C4" s="5">
        <f>SUMIFS(Cash_Eligibility!$M:$M,Cash_Eligibility!$I:$I,"Eligible",Cash_Eligibility!$G:$G,"&gt;="&amp;A4,Cash_Eligibility!$G:$G,"&lt;="&amp;B4)</f>
        <v>0</v>
      </c>
      <c r="D4" s="5">
        <f>SUMIFS(Cash_Eligibility!$M:$M,Cash_Eligibility!$I:$I,"Scenario*",Cash_Eligibility!$G:$G,"&gt;="&amp;A4,Cash_Eligibility!$G:$G,"&lt;="&amp;B4)</f>
        <v>0</v>
      </c>
      <c r="E4" s="5"/>
      <c r="F4" s="1" t="s">
        <v>441</v>
      </c>
    </row>
    <row r="5" spans="1:6">
      <c r="A5" s="4">
        <v>46181</v>
      </c>
      <c r="B5" s="4">
        <f t="shared" si="0"/>
        <v>46187</v>
      </c>
      <c r="C5" s="5">
        <f>SUMIFS(Cash_Eligibility!$M:$M,Cash_Eligibility!$I:$I,"Eligible",Cash_Eligibility!$G:$G,"&gt;="&amp;A5,Cash_Eligibility!$G:$G,"&lt;="&amp;B5)</f>
        <v>0</v>
      </c>
      <c r="D5" s="5">
        <f>SUMIFS(Cash_Eligibility!$M:$M,Cash_Eligibility!$I:$I,"Scenario*",Cash_Eligibility!$G:$G,"&gt;="&amp;A5,Cash_Eligibility!$G:$G,"&lt;="&amp;B5)</f>
        <v>0</v>
      </c>
      <c r="E5" s="5"/>
      <c r="F5" s="1" t="s">
        <v>441</v>
      </c>
    </row>
    <row r="6" spans="1:6">
      <c r="A6" s="4">
        <v>46188</v>
      </c>
      <c r="B6" s="4">
        <f t="shared" si="0"/>
        <v>46194</v>
      </c>
      <c r="C6" s="5">
        <f>SUMIFS(Cash_Eligibility!$M:$M,Cash_Eligibility!$I:$I,"Eligible",Cash_Eligibility!$G:$G,"&gt;="&amp;A6,Cash_Eligibility!$G:$G,"&lt;="&amp;B6)</f>
        <v>0</v>
      </c>
      <c r="D6" s="5">
        <f>SUMIFS(Cash_Eligibility!$M:$M,Cash_Eligibility!$I:$I,"Scenario*",Cash_Eligibility!$G:$G,"&gt;="&amp;A6,Cash_Eligibility!$G:$G,"&lt;="&amp;B6)</f>
        <v>0</v>
      </c>
      <c r="E6" s="5"/>
      <c r="F6" s="1" t="s">
        <v>441</v>
      </c>
    </row>
    <row r="7" spans="1:6">
      <c r="A7" s="4">
        <v>46195</v>
      </c>
      <c r="B7" s="4">
        <f t="shared" si="0"/>
        <v>46201</v>
      </c>
      <c r="C7" s="5">
        <f>SUMIFS(Cash_Eligibility!$M:$M,Cash_Eligibility!$I:$I,"Eligible",Cash_Eligibility!$G:$G,"&gt;="&amp;A7,Cash_Eligibility!$G:$G,"&lt;="&amp;B7)</f>
        <v>0</v>
      </c>
      <c r="D7" s="5">
        <f>SUMIFS(Cash_Eligibility!$M:$M,Cash_Eligibility!$I:$I,"Scenario*",Cash_Eligibility!$G:$G,"&gt;="&amp;A7,Cash_Eligibility!$G:$G,"&lt;="&amp;B7)</f>
        <v>0</v>
      </c>
      <c r="E7" s="5"/>
      <c r="F7" s="1" t="s">
        <v>441</v>
      </c>
    </row>
    <row r="8" spans="1:6">
      <c r="A8" s="4">
        <v>46202</v>
      </c>
      <c r="B8" s="4">
        <f t="shared" si="0"/>
        <v>46208</v>
      </c>
      <c r="C8" s="5">
        <f>SUMIFS(Cash_Eligibility!$M:$M,Cash_Eligibility!$I:$I,"Eligible",Cash_Eligibility!$G:$G,"&gt;="&amp;A8,Cash_Eligibility!$G:$G,"&lt;="&amp;B8)</f>
        <v>0</v>
      </c>
      <c r="D8" s="5">
        <f>SUMIFS(Cash_Eligibility!$M:$M,Cash_Eligibility!$I:$I,"Scenario*",Cash_Eligibility!$G:$G,"&gt;="&amp;A8,Cash_Eligibility!$G:$G,"&lt;="&amp;B8)</f>
        <v>0</v>
      </c>
      <c r="E8" s="5"/>
      <c r="F8" s="1" t="s">
        <v>441</v>
      </c>
    </row>
    <row r="9" spans="1:6">
      <c r="A9" s="4">
        <v>46209</v>
      </c>
      <c r="B9" s="4">
        <f t="shared" si="0"/>
        <v>46215</v>
      </c>
      <c r="C9" s="5">
        <f>SUMIFS(Cash_Eligibility!$M:$M,Cash_Eligibility!$I:$I,"Eligible",Cash_Eligibility!$G:$G,"&gt;="&amp;A9,Cash_Eligibility!$G:$G,"&lt;="&amp;B9)</f>
        <v>0</v>
      </c>
      <c r="D9" s="5">
        <f>SUMIFS(Cash_Eligibility!$M:$M,Cash_Eligibility!$I:$I,"Scenario*",Cash_Eligibility!$G:$G,"&gt;="&amp;A9,Cash_Eligibility!$G:$G,"&lt;="&amp;B9)</f>
        <v>0</v>
      </c>
      <c r="E9" s="5"/>
      <c r="F9" s="1" t="s">
        <v>441</v>
      </c>
    </row>
    <row r="10" spans="1:6">
      <c r="A10" s="4">
        <v>46216</v>
      </c>
      <c r="B10" s="4">
        <f t="shared" si="0"/>
        <v>46222</v>
      </c>
      <c r="C10" s="5">
        <f>SUMIFS(Cash_Eligibility!$M:$M,Cash_Eligibility!$I:$I,"Eligible",Cash_Eligibility!$G:$G,"&gt;="&amp;A10,Cash_Eligibility!$G:$G,"&lt;="&amp;B10)</f>
        <v>0</v>
      </c>
      <c r="D10" s="5">
        <f>SUMIFS(Cash_Eligibility!$M:$M,Cash_Eligibility!$I:$I,"Scenario*",Cash_Eligibility!$G:$G,"&gt;="&amp;A10,Cash_Eligibility!$G:$G,"&lt;="&amp;B10)</f>
        <v>0</v>
      </c>
      <c r="E10" s="5"/>
      <c r="F10" s="1" t="s">
        <v>441</v>
      </c>
    </row>
    <row r="11" spans="1:6">
      <c r="A11" s="4">
        <v>46223</v>
      </c>
      <c r="B11" s="4">
        <f t="shared" si="0"/>
        <v>46229</v>
      </c>
      <c r="C11" s="5">
        <f>SUMIFS(Cash_Eligibility!$M:$M,Cash_Eligibility!$I:$I,"Eligible",Cash_Eligibility!$G:$G,"&gt;="&amp;A11,Cash_Eligibility!$G:$G,"&lt;="&amp;B11)</f>
        <v>0</v>
      </c>
      <c r="D11" s="5">
        <f>SUMIFS(Cash_Eligibility!$M:$M,Cash_Eligibility!$I:$I,"Scenario*",Cash_Eligibility!$G:$G,"&gt;="&amp;A11,Cash_Eligibility!$G:$G,"&lt;="&amp;B11)</f>
        <v>0</v>
      </c>
      <c r="E11" s="5"/>
      <c r="F11" s="1" t="s">
        <v>441</v>
      </c>
    </row>
    <row r="12" spans="1:6">
      <c r="A12" s="4">
        <v>46230</v>
      </c>
      <c r="B12" s="4">
        <f t="shared" si="0"/>
        <v>46236</v>
      </c>
      <c r="C12" s="5">
        <f>SUMIFS(Cash_Eligibility!$M:$M,Cash_Eligibility!$I:$I,"Eligible",Cash_Eligibility!$G:$G,"&gt;="&amp;A12,Cash_Eligibility!$G:$G,"&lt;="&amp;B12)</f>
        <v>0</v>
      </c>
      <c r="D12" s="5">
        <f>SUMIFS(Cash_Eligibility!$M:$M,Cash_Eligibility!$I:$I,"Scenario*",Cash_Eligibility!$G:$G,"&gt;="&amp;A12,Cash_Eligibility!$G:$G,"&lt;="&amp;B12)</f>
        <v>0</v>
      </c>
      <c r="E12" s="5"/>
      <c r="F12" s="1" t="s">
        <v>441</v>
      </c>
    </row>
    <row r="13" spans="1:6">
      <c r="A13" s="4">
        <v>46237</v>
      </c>
      <c r="B13" s="4">
        <f t="shared" si="0"/>
        <v>46243</v>
      </c>
      <c r="C13" s="5">
        <f>SUMIFS(Cash_Eligibility!$M:$M,Cash_Eligibility!$I:$I,"Eligible",Cash_Eligibility!$G:$G,"&gt;="&amp;A13,Cash_Eligibility!$G:$G,"&lt;="&amp;B13)</f>
        <v>0</v>
      </c>
      <c r="D13" s="5">
        <f>SUMIFS(Cash_Eligibility!$M:$M,Cash_Eligibility!$I:$I,"Scenario*",Cash_Eligibility!$G:$G,"&gt;="&amp;A13,Cash_Eligibility!$G:$G,"&lt;="&amp;B13)</f>
        <v>0</v>
      </c>
      <c r="E13" s="5"/>
      <c r="F13" s="1" t="s">
        <v>441</v>
      </c>
    </row>
    <row r="14" spans="1:6">
      <c r="A14" s="4">
        <v>46244</v>
      </c>
      <c r="B14" s="4">
        <f t="shared" si="0"/>
        <v>46250</v>
      </c>
      <c r="C14" s="5">
        <f>SUMIFS(Cash_Eligibility!$M:$M,Cash_Eligibility!$I:$I,"Eligible",Cash_Eligibility!$G:$G,"&gt;="&amp;A14,Cash_Eligibility!$G:$G,"&lt;="&amp;B14)</f>
        <v>0</v>
      </c>
      <c r="D14" s="5">
        <f>SUMIFS(Cash_Eligibility!$M:$M,Cash_Eligibility!$I:$I,"Scenario*",Cash_Eligibility!$G:$G,"&gt;="&amp;A14,Cash_Eligibility!$G:$G,"&lt;="&amp;B14)</f>
        <v>0</v>
      </c>
      <c r="E14" s="5"/>
      <c r="F14" s="1" t="s">
        <v>441</v>
      </c>
    </row>
    <row r="15" spans="1:6">
      <c r="A15" s="4">
        <v>46251</v>
      </c>
      <c r="B15" s="4">
        <f t="shared" si="0"/>
        <v>46257</v>
      </c>
      <c r="C15" s="5">
        <f>SUMIFS(Cash_Eligibility!$M:$M,Cash_Eligibility!$I:$I,"Eligible",Cash_Eligibility!$G:$G,"&gt;="&amp;A15,Cash_Eligibility!$G:$G,"&lt;="&amp;B15)</f>
        <v>0</v>
      </c>
      <c r="D15" s="5">
        <f>SUMIFS(Cash_Eligibility!$M:$M,Cash_Eligibility!$I:$I,"Scenario*",Cash_Eligibility!$G:$G,"&gt;="&amp;A15,Cash_Eligibility!$G:$G,"&lt;="&amp;B15)</f>
        <v>0</v>
      </c>
      <c r="E15" s="5"/>
      <c r="F15" s="1" t="s">
        <v>441</v>
      </c>
    </row>
    <row r="16" spans="1:6">
      <c r="A16" s="4">
        <v>46258</v>
      </c>
      <c r="B16" s="4">
        <f t="shared" si="0"/>
        <v>46264</v>
      </c>
      <c r="C16" s="5">
        <f>SUMIFS(Cash_Eligibility!$M:$M,Cash_Eligibility!$I:$I,"Eligible",Cash_Eligibility!$G:$G,"&gt;="&amp;A16,Cash_Eligibility!$G:$G,"&lt;="&amp;B16)</f>
        <v>0</v>
      </c>
      <c r="D16" s="5">
        <f>SUMIFS(Cash_Eligibility!$M:$M,Cash_Eligibility!$I:$I,"Scenario*",Cash_Eligibility!$G:$G,"&gt;="&amp;A16,Cash_Eligibility!$G:$G,"&lt;="&amp;B16)</f>
        <v>0</v>
      </c>
      <c r="E16" s="5"/>
      <c r="F16" s="1" t="s">
        <v>441</v>
      </c>
    </row>
    <row r="17" spans="1:6">
      <c r="A17" s="4">
        <v>46265</v>
      </c>
      <c r="B17" s="4">
        <f t="shared" si="0"/>
        <v>46271</v>
      </c>
      <c r="C17" s="5">
        <f>SUMIFS(Cash_Eligibility!$M:$M,Cash_Eligibility!$I:$I,"Eligible",Cash_Eligibility!$G:$G,"&gt;="&amp;A17,Cash_Eligibility!$G:$G,"&lt;="&amp;B17)</f>
        <v>0</v>
      </c>
      <c r="D17" s="5">
        <f>SUMIFS(Cash_Eligibility!$M:$M,Cash_Eligibility!$I:$I,"Scenario*",Cash_Eligibility!$G:$G,"&gt;="&amp;A17,Cash_Eligibility!$G:$G,"&lt;="&amp;B17)</f>
        <v>0</v>
      </c>
      <c r="E17" s="5"/>
      <c r="F17" s="1" t="s">
        <v>441</v>
      </c>
    </row>
    <row r="18" spans="1:6">
      <c r="A18" s="4">
        <v>46272</v>
      </c>
      <c r="B18" s="4">
        <f t="shared" si="0"/>
        <v>46278</v>
      </c>
      <c r="C18" s="5">
        <f>SUMIFS(Cash_Eligibility!$M:$M,Cash_Eligibility!$I:$I,"Eligible",Cash_Eligibility!$G:$G,"&gt;="&amp;A18,Cash_Eligibility!$G:$G,"&lt;="&amp;B18)</f>
        <v>0</v>
      </c>
      <c r="D18" s="5">
        <f>SUMIFS(Cash_Eligibility!$M:$M,Cash_Eligibility!$I:$I,"Scenario*",Cash_Eligibility!$G:$G,"&gt;="&amp;A18,Cash_Eligibility!$G:$G,"&lt;="&amp;B18)</f>
        <v>0</v>
      </c>
      <c r="E18" s="5"/>
      <c r="F18" s="1" t="s">
        <v>441</v>
      </c>
    </row>
    <row r="19" spans="1:6">
      <c r="A19" s="4">
        <v>46279</v>
      </c>
      <c r="B19" s="4">
        <f t="shared" si="0"/>
        <v>46285</v>
      </c>
      <c r="C19" s="5">
        <f>SUMIFS(Cash_Eligibility!$M:$M,Cash_Eligibility!$I:$I,"Eligible",Cash_Eligibility!$G:$G,"&gt;="&amp;A19,Cash_Eligibility!$G:$G,"&lt;="&amp;B19)</f>
        <v>0</v>
      </c>
      <c r="D19" s="5">
        <f>SUMIFS(Cash_Eligibility!$M:$M,Cash_Eligibility!$I:$I,"Scenario*",Cash_Eligibility!$G:$G,"&gt;="&amp;A19,Cash_Eligibility!$G:$G,"&lt;="&amp;B19)</f>
        <v>0</v>
      </c>
      <c r="E19" s="5"/>
      <c r="F19" s="1" t="s">
        <v>441</v>
      </c>
    </row>
    <row r="20" spans="1:6">
      <c r="A20" s="4">
        <v>46286</v>
      </c>
      <c r="B20" s="4">
        <f t="shared" si="0"/>
        <v>46292</v>
      </c>
      <c r="C20" s="5">
        <f>SUMIFS(Cash_Eligibility!$M:$M,Cash_Eligibility!$I:$I,"Eligible",Cash_Eligibility!$G:$G,"&gt;="&amp;A20,Cash_Eligibility!$G:$G,"&lt;="&amp;B20)</f>
        <v>0</v>
      </c>
      <c r="D20" s="5">
        <f>SUMIFS(Cash_Eligibility!$M:$M,Cash_Eligibility!$I:$I,"Scenario*",Cash_Eligibility!$G:$G,"&gt;="&amp;A20,Cash_Eligibility!$G:$G,"&lt;="&amp;B20)</f>
        <v>0</v>
      </c>
      <c r="E20" s="5"/>
      <c r="F20" s="1" t="s">
        <v>441</v>
      </c>
    </row>
    <row r="21" spans="1:6">
      <c r="A21" s="4">
        <v>46293</v>
      </c>
      <c r="B21" s="4">
        <f t="shared" si="0"/>
        <v>46299</v>
      </c>
      <c r="C21" s="5">
        <f>SUMIFS(Cash_Eligibility!$M:$M,Cash_Eligibility!$I:$I,"Eligible",Cash_Eligibility!$G:$G,"&gt;="&amp;A21,Cash_Eligibility!$G:$G,"&lt;="&amp;B21)</f>
        <v>0</v>
      </c>
      <c r="D21" s="5">
        <f>SUMIFS(Cash_Eligibility!$M:$M,Cash_Eligibility!$I:$I,"Scenario*",Cash_Eligibility!$G:$G,"&gt;="&amp;A21,Cash_Eligibility!$G:$G,"&lt;="&amp;B21)</f>
        <v>0</v>
      </c>
      <c r="E21" s="5"/>
      <c r="F21" s="1" t="s">
        <v>441</v>
      </c>
    </row>
    <row r="22" spans="1:6">
      <c r="A22" s="4">
        <v>46300</v>
      </c>
      <c r="B22" s="4">
        <f t="shared" si="0"/>
        <v>46306</v>
      </c>
      <c r="C22" s="5">
        <f>SUMIFS(Cash_Eligibility!$M:$M,Cash_Eligibility!$I:$I,"Eligible",Cash_Eligibility!$G:$G,"&gt;="&amp;A22,Cash_Eligibility!$G:$G,"&lt;="&amp;B22)</f>
        <v>0</v>
      </c>
      <c r="D22" s="5">
        <f>SUMIFS(Cash_Eligibility!$M:$M,Cash_Eligibility!$I:$I,"Scenario*",Cash_Eligibility!$G:$G,"&gt;="&amp;A22,Cash_Eligibility!$G:$G,"&lt;="&amp;B22)</f>
        <v>0</v>
      </c>
      <c r="E22" s="5"/>
      <c r="F22" s="1" t="s">
        <v>441</v>
      </c>
    </row>
    <row r="23" spans="1:6">
      <c r="A23" s="4">
        <v>46307</v>
      </c>
      <c r="B23" s="4">
        <f t="shared" si="0"/>
        <v>46313</v>
      </c>
      <c r="C23" s="5">
        <f>SUMIFS(Cash_Eligibility!$M:$M,Cash_Eligibility!$I:$I,"Eligible",Cash_Eligibility!$G:$G,"&gt;="&amp;A23,Cash_Eligibility!$G:$G,"&lt;="&amp;B23)</f>
        <v>0</v>
      </c>
      <c r="D23" s="5">
        <f>SUMIFS(Cash_Eligibility!$M:$M,Cash_Eligibility!$I:$I,"Scenario*",Cash_Eligibility!$G:$G,"&gt;="&amp;A23,Cash_Eligibility!$G:$G,"&lt;="&amp;B23)</f>
        <v>0</v>
      </c>
      <c r="E23" s="5"/>
      <c r="F23" s="1" t="s">
        <v>441</v>
      </c>
    </row>
    <row r="24" spans="1:6">
      <c r="A24" s="4">
        <v>46314</v>
      </c>
      <c r="B24" s="4">
        <f t="shared" si="0"/>
        <v>46320</v>
      </c>
      <c r="C24" s="5">
        <f>SUMIFS(Cash_Eligibility!$M:$M,Cash_Eligibility!$I:$I,"Eligible",Cash_Eligibility!$G:$G,"&gt;="&amp;A24,Cash_Eligibility!$G:$G,"&lt;="&amp;B24)</f>
        <v>0</v>
      </c>
      <c r="D24" s="5">
        <f>SUMIFS(Cash_Eligibility!$M:$M,Cash_Eligibility!$I:$I,"Scenario*",Cash_Eligibility!$G:$G,"&gt;="&amp;A24,Cash_Eligibility!$G:$G,"&lt;="&amp;B24)</f>
        <v>0</v>
      </c>
      <c r="E24" s="5"/>
      <c r="F24" s="1" t="s">
        <v>441</v>
      </c>
    </row>
    <row r="25" spans="1:6">
      <c r="A25" s="4">
        <v>46321</v>
      </c>
      <c r="B25" s="4">
        <f t="shared" si="0"/>
        <v>46327</v>
      </c>
      <c r="C25" s="5">
        <f>SUMIFS(Cash_Eligibility!$M:$M,Cash_Eligibility!$I:$I,"Eligible",Cash_Eligibility!$G:$G,"&gt;="&amp;A25,Cash_Eligibility!$G:$G,"&lt;="&amp;B25)</f>
        <v>0</v>
      </c>
      <c r="D25" s="5">
        <f>SUMIFS(Cash_Eligibility!$M:$M,Cash_Eligibility!$I:$I,"Scenario*",Cash_Eligibility!$G:$G,"&gt;="&amp;A25,Cash_Eligibility!$G:$G,"&lt;="&amp;B25)</f>
        <v>0</v>
      </c>
      <c r="E25" s="5"/>
      <c r="F25" s="1" t="s">
        <v>441</v>
      </c>
    </row>
    <row r="26" spans="1:6">
      <c r="A26" s="4">
        <v>46328</v>
      </c>
      <c r="B26" s="4">
        <f t="shared" si="0"/>
        <v>46334</v>
      </c>
      <c r="C26" s="5">
        <f>SUMIFS(Cash_Eligibility!$M:$M,Cash_Eligibility!$I:$I,"Eligible",Cash_Eligibility!$G:$G,"&gt;="&amp;A26,Cash_Eligibility!$G:$G,"&lt;="&amp;B26)</f>
        <v>0</v>
      </c>
      <c r="D26" s="5">
        <f>SUMIFS(Cash_Eligibility!$M:$M,Cash_Eligibility!$I:$I,"Scenario*",Cash_Eligibility!$G:$G,"&gt;="&amp;A26,Cash_Eligibility!$G:$G,"&lt;="&amp;B26)</f>
        <v>0</v>
      </c>
      <c r="E26" s="5"/>
      <c r="F26" s="1" t="s">
        <v>441</v>
      </c>
    </row>
    <row r="27" spans="1:6">
      <c r="A27" s="4">
        <v>46335</v>
      </c>
      <c r="B27" s="4">
        <f t="shared" si="0"/>
        <v>46341</v>
      </c>
      <c r="C27" s="5">
        <f>SUMIFS(Cash_Eligibility!$M:$M,Cash_Eligibility!$I:$I,"Eligible",Cash_Eligibility!$G:$G,"&gt;="&amp;A27,Cash_Eligibility!$G:$G,"&lt;="&amp;B27)</f>
        <v>0</v>
      </c>
      <c r="D27" s="5">
        <f>SUMIFS(Cash_Eligibility!$M:$M,Cash_Eligibility!$I:$I,"Scenario*",Cash_Eligibility!$G:$G,"&gt;="&amp;A27,Cash_Eligibility!$G:$G,"&lt;="&amp;B27)</f>
        <v>0</v>
      </c>
      <c r="E27" s="5"/>
      <c r="F27" s="1" t="s">
        <v>441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/>
  </sheetViews>
  <sheetFormatPr defaultRowHeight="14"/>
  <cols>
    <col min="1" max="1" width="34" customWidth="1"/>
    <col min="2" max="2" width="18" customWidth="1"/>
    <col min="3" max="3" width="40" customWidth="1"/>
    <col min="4" max="4" width="12" customWidth="1"/>
    <col min="5" max="5" width="44" customWidth="1"/>
  </cols>
  <sheetData>
    <row r="1" spans="1:5">
      <c r="A1" s="2" t="s">
        <v>442</v>
      </c>
      <c r="B1" s="2" t="s">
        <v>443</v>
      </c>
      <c r="C1" s="2" t="s">
        <v>444</v>
      </c>
      <c r="D1" s="2" t="s">
        <v>445</v>
      </c>
      <c r="E1" s="2" t="s">
        <v>446</v>
      </c>
    </row>
    <row r="2" spans="1:5">
      <c r="A2" s="1" t="s">
        <v>447</v>
      </c>
      <c r="B2" s="1">
        <f>COUNTA(Pipeline_Control!$B$2:$B$111)</f>
        <v>110</v>
      </c>
      <c r="C2" s="1" t="s">
        <v>448</v>
      </c>
      <c r="D2" s="1" t="s">
        <v>448</v>
      </c>
      <c r="E2" s="1"/>
    </row>
    <row r="3" spans="1:5" ht="28">
      <c r="A3" s="1" t="s">
        <v>449</v>
      </c>
      <c r="B3" s="1">
        <f>COUNTBLANK(Pipeline_Control!$J$2:$J$111)</f>
        <v>82</v>
      </c>
      <c r="C3" s="1" t="s">
        <v>450</v>
      </c>
      <c r="D3" s="1" t="s">
        <v>451</v>
      </c>
      <c r="E3" s="1" t="s">
        <v>452</v>
      </c>
    </row>
    <row r="4" spans="1:5">
      <c r="A4" s="1" t="s">
        <v>453</v>
      </c>
      <c r="B4" s="1">
        <f>COUNTIF(Pipeline_Control!$AK$2:$AK$111,"Y")</f>
        <v>16</v>
      </c>
      <c r="C4" s="1" t="s">
        <v>454</v>
      </c>
      <c r="D4" s="1" t="s">
        <v>451</v>
      </c>
      <c r="E4" s="1"/>
    </row>
    <row r="5" spans="1:5">
      <c r="A5" s="1" t="s">
        <v>38</v>
      </c>
      <c r="B5" s="1">
        <f>COUNTIF(Pipeline_Control!$AM$2:$AM$111,"Y")</f>
        <v>12</v>
      </c>
      <c r="C5" s="1" t="s">
        <v>455</v>
      </c>
      <c r="D5" s="1" t="s">
        <v>456</v>
      </c>
      <c r="E5" s="1" t="s">
        <v>457</v>
      </c>
    </row>
    <row r="6" spans="1:5">
      <c r="A6" s="1" t="s">
        <v>458</v>
      </c>
      <c r="B6" s="1">
        <f>COUNTIF(SO_Mapping!$H$2:$H$57,"Y")</f>
        <v>42</v>
      </c>
      <c r="C6" s="1" t="s">
        <v>459</v>
      </c>
      <c r="D6" s="1" t="s">
        <v>456</v>
      </c>
      <c r="E6" s="1" t="s">
        <v>460</v>
      </c>
    </row>
    <row r="7" spans="1:5">
      <c r="A7" s="1" t="s">
        <v>461</v>
      </c>
      <c r="B7" s="1">
        <f>COUNTIFS(Pipeline_Control!$I$2:$I$111,"Y",Pipeline_Control!$AK$2:$AK$111,"N")</f>
        <v>94</v>
      </c>
      <c r="C7" s="1" t="s">
        <v>462</v>
      </c>
      <c r="D7" s="1" t="s">
        <v>463</v>
      </c>
      <c r="E7" s="1" t="s">
        <v>464</v>
      </c>
    </row>
    <row r="8" spans="1:5">
      <c r="A8" s="1" t="s">
        <v>465</v>
      </c>
      <c r="B8" s="1">
        <f>SUMPRODUCT(--(Pipeline_Control!$B$2:$B$111&lt;&gt;""),--(COUNTIF(Pipeline_Control!$B$2:$B$111,Pipeline_Control!$B$2:$B$111)&gt;1))</f>
        <v>0</v>
      </c>
      <c r="C8" s="1" t="s">
        <v>466</v>
      </c>
      <c r="D8" s="1" t="s">
        <v>451</v>
      </c>
      <c r="E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/>
  </sheetViews>
  <sheetFormatPr defaultRowHeight="14"/>
  <sheetData>
    <row r="1" spans="1:6" ht="42">
      <c r="A1" s="2" t="s">
        <v>7</v>
      </c>
      <c r="B1" s="2" t="s">
        <v>467</v>
      </c>
      <c r="C1" s="2" t="s">
        <v>34</v>
      </c>
      <c r="D1" s="2" t="s">
        <v>35</v>
      </c>
      <c r="E1" s="2" t="s">
        <v>31</v>
      </c>
      <c r="F1" s="2" t="s">
        <v>468</v>
      </c>
    </row>
    <row r="2" spans="1:6" ht="42">
      <c r="A2" s="1" t="s">
        <v>81</v>
      </c>
      <c r="B2" s="1" t="s">
        <v>50</v>
      </c>
      <c r="C2" s="1" t="s">
        <v>469</v>
      </c>
      <c r="D2" s="1" t="s">
        <v>470</v>
      </c>
      <c r="E2" s="1" t="s">
        <v>59</v>
      </c>
      <c r="F2" s="1" t="s">
        <v>50</v>
      </c>
    </row>
    <row r="3" spans="1:6" ht="56">
      <c r="A3" s="1" t="s">
        <v>49</v>
      </c>
      <c r="B3" s="1" t="s">
        <v>408</v>
      </c>
      <c r="C3" s="1" t="s">
        <v>471</v>
      </c>
      <c r="D3" s="1" t="s">
        <v>472</v>
      </c>
      <c r="E3" s="1" t="s">
        <v>473</v>
      </c>
      <c r="F3" s="1" t="s">
        <v>408</v>
      </c>
    </row>
    <row r="4" spans="1:6" ht="56">
      <c r="A4" s="1" t="s">
        <v>179</v>
      </c>
      <c r="B4" s="1"/>
      <c r="C4" s="1" t="s">
        <v>474</v>
      </c>
      <c r="D4" s="1" t="s">
        <v>475</v>
      </c>
      <c r="E4" s="1" t="s">
        <v>476</v>
      </c>
      <c r="F4" s="1"/>
    </row>
    <row r="5" spans="1:6" ht="56">
      <c r="A5" s="1" t="s">
        <v>477</v>
      </c>
      <c r="B5" s="1"/>
      <c r="C5" s="1" t="s">
        <v>478</v>
      </c>
      <c r="D5" s="1" t="s">
        <v>479</v>
      </c>
      <c r="E5" s="1"/>
      <c r="F5" s="1"/>
    </row>
    <row r="6" spans="1:6" ht="70">
      <c r="A6" s="1" t="s">
        <v>480</v>
      </c>
      <c r="B6" s="1"/>
      <c r="C6" s="1" t="s">
        <v>179</v>
      </c>
      <c r="D6" s="1" t="s">
        <v>481</v>
      </c>
      <c r="E6" s="1"/>
      <c r="F6" s="1"/>
    </row>
    <row r="7" spans="1:6" ht="42">
      <c r="A7" s="1"/>
      <c r="B7" s="1"/>
      <c r="C7" s="1"/>
      <c r="D7" s="1" t="s">
        <v>482</v>
      </c>
      <c r="E7" s="1"/>
      <c r="F7" s="1"/>
    </row>
    <row r="8" spans="1:6" ht="42">
      <c r="A8" s="1"/>
      <c r="B8" s="1"/>
      <c r="C8" s="1"/>
      <c r="D8" s="1" t="s">
        <v>483</v>
      </c>
      <c r="E8" s="1"/>
      <c r="F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>
      <selection sqref="A1:D1"/>
    </sheetView>
  </sheetViews>
  <sheetFormatPr defaultRowHeight="14"/>
  <cols>
    <col min="1" max="1" width="28" customWidth="1"/>
    <col min="2" max="2" width="44" customWidth="1"/>
    <col min="3" max="3" width="36" customWidth="1"/>
    <col min="4" max="4" width="44" customWidth="1"/>
  </cols>
  <sheetData>
    <row r="1" spans="1:4" ht="15">
      <c r="A1" s="8" t="s">
        <v>484</v>
      </c>
      <c r="B1" s="9"/>
      <c r="C1" s="9"/>
      <c r="D1" s="9"/>
    </row>
    <row r="2" spans="1:4">
      <c r="A2" s="2" t="s">
        <v>485</v>
      </c>
      <c r="B2" s="2" t="s">
        <v>443</v>
      </c>
      <c r="C2" s="2" t="s">
        <v>486</v>
      </c>
      <c r="D2" s="2" t="s">
        <v>487</v>
      </c>
    </row>
    <row r="3" spans="1:4">
      <c r="A3" s="1" t="s">
        <v>447</v>
      </c>
      <c r="B3" s="7">
        <f>App_Readiness_Checks!B2</f>
        <v>110</v>
      </c>
      <c r="C3" s="1" t="s">
        <v>488</v>
      </c>
      <c r="D3" s="1"/>
    </row>
    <row r="4" spans="1:4">
      <c r="A4" s="1" t="s">
        <v>489</v>
      </c>
      <c r="B4" s="7">
        <f>App_Readiness_Checks!B3</f>
        <v>82</v>
      </c>
      <c r="C4" s="1" t="s">
        <v>490</v>
      </c>
      <c r="D4" s="1" t="s">
        <v>491</v>
      </c>
    </row>
    <row r="5" spans="1:4">
      <c r="A5" s="1" t="s">
        <v>453</v>
      </c>
      <c r="B5" s="7">
        <f>App_Readiness_Checks!B4</f>
        <v>16</v>
      </c>
      <c r="C5" s="1" t="s">
        <v>492</v>
      </c>
      <c r="D5" s="1" t="s">
        <v>493</v>
      </c>
    </row>
    <row r="6" spans="1:4">
      <c r="A6" s="1" t="s">
        <v>38</v>
      </c>
      <c r="B6" s="7">
        <f>App_Readiness_Checks!B5</f>
        <v>12</v>
      </c>
      <c r="C6" s="1" t="s">
        <v>494</v>
      </c>
      <c r="D6" s="1" t="s">
        <v>495</v>
      </c>
    </row>
    <row r="7" spans="1:4" ht="28">
      <c r="A7" s="1" t="s">
        <v>458</v>
      </c>
      <c r="B7" s="7">
        <f>App_Readiness_Checks!B6</f>
        <v>42</v>
      </c>
      <c r="C7" s="1" t="s">
        <v>496</v>
      </c>
      <c r="D7" s="1" t="s">
        <v>497</v>
      </c>
    </row>
    <row r="8" spans="1:4">
      <c r="A8" s="1" t="s">
        <v>461</v>
      </c>
      <c r="B8" s="7">
        <f>App_Readiness_Checks!B7</f>
        <v>94</v>
      </c>
      <c r="C8" s="1" t="s">
        <v>498</v>
      </c>
      <c r="D8" s="1" t="s">
        <v>499</v>
      </c>
    </row>
    <row r="9" spans="1:4">
      <c r="A9" s="1"/>
      <c r="B9" s="1"/>
      <c r="C9" s="1"/>
      <c r="D9" s="1"/>
    </row>
    <row r="10" spans="1:4" ht="28">
      <c r="A10" s="3" t="s">
        <v>500</v>
      </c>
      <c r="B10" s="1" t="s">
        <v>501</v>
      </c>
      <c r="C10" s="1"/>
      <c r="D10" s="1"/>
    </row>
    <row r="11" spans="1:4" ht="28">
      <c r="A11" s="3" t="s">
        <v>502</v>
      </c>
      <c r="B11" s="1" t="s">
        <v>503</v>
      </c>
      <c r="C11" s="1"/>
      <c r="D11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Pipeline_Control</vt:lpstr>
      <vt:lpstr>SO_Mapping</vt:lpstr>
      <vt:lpstr>SO_Source</vt:lpstr>
      <vt:lpstr>Cash_Eligibility</vt:lpstr>
      <vt:lpstr>Cash_Bridge</vt:lpstr>
      <vt:lpstr>App_Readiness_Checks</vt:lpstr>
      <vt:lpstr>Lookups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Melinda Will</cp:lastModifiedBy>
  <dcterms:created xsi:type="dcterms:W3CDTF">2026-05-24T01:34:35Z</dcterms:created>
  <dcterms:modified xsi:type="dcterms:W3CDTF">2026-05-24T01:34:35Z</dcterms:modified>
</cp:coreProperties>
</file>